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fatih.kaplan\Desktop\Arge Makale\Makale 10 Sakarya DLP\rulescope-dlp\validation\output\"/>
    </mc:Choice>
  </mc:AlternateContent>
  <xr:revisionPtr revIDLastSave="0" documentId="13_ncr:1_{734544DB-BA31-4853-B7BE-0E709752022D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Açıklama" sheetId="1" r:id="rId1"/>
    <sheet name="İnceleme" sheetId="2" r:id="rId2"/>
    <sheet name="Özet" sheetId="3" r:id="rId3"/>
    <sheet name="Listeler" sheetId="4" state="hidden" r:id="rId4"/>
  </sheets>
  <definedNames>
    <definedName name="_xlnm._FilterDatabase" localSheetId="1" hidden="1">İnceleme!$A$1:$S$101</definedName>
  </definedNames>
  <calcPr calcId="191029"/>
</workbook>
</file>

<file path=xl/calcChain.xml><?xml version="1.0" encoding="utf-8"?>
<calcChain xmlns="http://schemas.openxmlformats.org/spreadsheetml/2006/main">
  <c r="H5" i="3" l="1"/>
  <c r="G5" i="3"/>
  <c r="F5" i="3"/>
  <c r="E5" i="3"/>
  <c r="D5" i="3"/>
  <c r="C5" i="3"/>
  <c r="B5" i="3"/>
  <c r="H4" i="3"/>
  <c r="G4" i="3"/>
  <c r="F4" i="3"/>
  <c r="E4" i="3"/>
  <c r="D4" i="3"/>
  <c r="C4" i="3"/>
  <c r="B4" i="3"/>
  <c r="H3" i="3"/>
  <c r="G3" i="3"/>
  <c r="F3" i="3"/>
  <c r="E3" i="3"/>
  <c r="D3" i="3"/>
  <c r="C3" i="3"/>
  <c r="B3" i="3"/>
  <c r="H2" i="3"/>
  <c r="G2" i="3"/>
  <c r="F2" i="3"/>
  <c r="E2" i="3"/>
  <c r="D2" i="3"/>
  <c r="C2" i="3"/>
  <c r="B2" i="3"/>
  <c r="B6" i="3" s="1"/>
  <c r="C6" i="3" l="1"/>
  <c r="I4" i="3"/>
  <c r="I5" i="3"/>
  <c r="E6" i="3"/>
  <c r="F6" i="3"/>
  <c r="D6" i="3"/>
  <c r="G6" i="3"/>
  <c r="H6" i="3"/>
  <c r="I3" i="3"/>
  <c r="I2" i="3"/>
  <c r="I6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build_author_review_sheet</author>
  </authors>
  <commentList>
    <comment ref="M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Betik tarafından hesaplanan otomatik ön analiz; insan değerlendirmesi değildir.</t>
        </r>
      </text>
    </comment>
  </commentList>
</comments>
</file>

<file path=xl/sharedStrings.xml><?xml version="1.0" encoding="utf-8"?>
<sst xmlns="http://schemas.openxmlformats.org/spreadsheetml/2006/main" count="3856" uniqueCount="589">
  <si>
    <t>RuleScope-DLP — SPEDIA eşleme incelemesi (100 kayıt)</t>
  </si>
  <si>
    <t>Amaç: Adaptörün SPEDIA metadata'sından ürettiği DLP eşlemelerini yazarın kayıt kayıt incelemesi.</t>
  </si>
  <si>
    <t>Kaynak: validation/output/manual_mapping_review.csv (değiştirilmedi). Seçim: seed 20261007, kategori başına 25 kayıt; yöntem için manual_mapping_review_method.md.</t>
  </si>
  <si>
    <t>Nasıl doldurulur</t>
  </si>
  <si>
    <t>• Yalnızca 'İnceleme' sayfasındaki SARI sütunları doldurun: 'Yazar değerlendirmesi' (açılır liste) ve 'Yazar açıklaması' (serbest metin).</t>
  </si>
  <si>
    <t>• GRİ sütunlar otomatik ön analizdir; insan kararı DEĞİLDİR. Değerlendirmenizi bunlardan bağımsız verin.</t>
  </si>
  <si>
    <t>• 2, 3 veya 4 seçildiğinde açıklama alanına kısa gerekçe yazın.</t>
  </si>
  <si>
    <t>Yazar değerlendirmesi seçenekleri</t>
  </si>
  <si>
    <t xml:space="preserve">   1 - Mevcut metadata eşlemeyi destekliyor</t>
  </si>
  <si>
    <t xml:space="preserve">   2 - Eşleme kurala uygun, ancak gerçek DLP anlamı için bağlam yetersiz</t>
  </si>
  <si>
    <t xml:space="preserve">   3 - Eşleme hatalı</t>
  </si>
  <si>
    <t xml:space="preserve">   4 - Karar verilemedi</t>
  </si>
  <si>
    <t>Otomatik sütunların anlamı</t>
  </si>
  <si>
    <t>• Otomatik kontrol: kurala uygunluk — bağımsız bir denetleyicinin, kaynak metadata'dan belgelenmiş adaptör kuralıyla aynı değeri türetip türetmediği. Kuralın DLP açısından doğru olduğunu göstermez.</t>
  </si>
  <si>
    <t>• Otomatik belirsizlik bayrağı — betiğin kayda özgü bir durum nedeniyle (ör. gönderen alan adı, eksik Path) eşlemenin gerçek anlamını belirsiz saydığı kayıtlar. Bir sezgisel kuraldır, yargı değildir.</t>
  </si>
  <si>
    <t>• Diğer otomatik notlar — belirsizlik sayılmayan ama kaynakta doğrulanamayan özellikler (ör. bulut eşleşmesinin yükleme kanıtı olmaması, cihaz güveninin varsayım olması).</t>
  </si>
  <si>
    <t>Örnek (yalnızca biçim gösterimi; veri satırı değildir)</t>
  </si>
  <si>
    <t xml:space="preserve">   Yazar değerlendirmesi: 2 - Eşleme kurala uygun, ancak gerçek DLP anlamı için bağlam yetersiz</t>
  </si>
  <si>
    <t xml:space="preserve">   Yazar açıklaması: Dış alıcı ve ek kaynakta görülüyor; gönderen kişisel adres, kurumsal kanal belirsiz.</t>
  </si>
  <si>
    <t>İnceleme ID</t>
  </si>
  <si>
    <t>Kategori</t>
  </si>
  <si>
    <t>Alt grup</t>
  </si>
  <si>
    <t>SPEDIA kayıt ID</t>
  </si>
  <si>
    <t>Zaman damgası</t>
  </si>
  <si>
    <t>Kaynak eylem (Action)</t>
  </si>
  <si>
    <t>Kaynak metadata</t>
  </si>
  <si>
    <t>Kaynak boyut bilgisi</t>
  </si>
  <si>
    <t>Adaptör eşlemesi</t>
  </si>
  <si>
    <t>Koruma kapsamı</t>
  </si>
  <si>
    <t>Uygulanan adaptör kuralı</t>
  </si>
  <si>
    <t>Otomatik kontrol: kurala uygunluk</t>
  </si>
  <si>
    <t>Otomatik belirsizlik bayrağı</t>
  </si>
  <si>
    <t>Otomatik belirsizlik gerekçesi</t>
  </si>
  <si>
    <t>Diğer otomatik notlar</t>
  </si>
  <si>
    <t>Kaynakta doğrulanabilen</t>
  </si>
  <si>
    <t>Kaynakta doğrulanamayan</t>
  </si>
  <si>
    <t>Yazar değerlendirmesi</t>
  </si>
  <si>
    <t>Yazar açıklaması</t>
  </si>
  <si>
    <t>MMR-A01</t>
  </si>
  <si>
    <t>E-posta</t>
  </si>
  <si>
    <t>Dış alıcı + ek (e-posta koruma kapsamı)</t>
  </si>
  <si>
    <t>00410450-56dc-4bb9-853f-9f18bc249e9f</t>
  </si>
  <si>
    <t>2025-03-30 13:09:55.000</t>
  </si>
  <si>
    <t>Email sent</t>
  </si>
  <si>
    <t>To/Cc/Bcc domains: sbcglobal.net;yahoo.com (external via: To;Cc); sender domain: sbcglobal.net
Ham alıcılar: To=Avery-Fulton@yahoo.com;Nelle_Bowen@sbcglobal.net; Cc=Charity-Daniels@sbcglobal.net
Ek sayısı (Attachments): 2.0</t>
  </si>
  <si>
    <t>Size=23392.0</t>
  </si>
  <si>
    <t>channel=Email; content_type=Attachment; data_classification=Restricted; destination_trust=Untrusted; device_trust=Managed; file_type=OTHER; size_mb=1</t>
  </si>
  <si>
    <t>REQ_EMAIL_EXTERNAL_ATTACHMENT</t>
  </si>
  <si>
    <t>EMAIL: recipient domain of To/Cc/Bcc != dtaa.com -&gt; Untrusted; Attachments&gt;0 -&gt; Attachment; external+attachment -&gt; Restricted; external xor attachment -&gt; Confidential; else Internal</t>
  </si>
  <si>
    <t>Kurala uygun</t>
  </si>
  <si>
    <t>Evet</t>
  </si>
  <si>
    <t>• Gönderen adresi dtaa.com dışında. Kayıt, kurumsal e-posta ağ geçidi yerine kişisel e-posta trafiği olabilir; adaptör göndereni dikkate almıyor.</t>
  </si>
  <si>
    <t>• Ek sayısı biliniyor; ekin adı, türü ve içeriği kaynakta yok. 'Restricted' sınıflandırması doğrulanamaz.</t>
  </si>
  <si>
    <t>Gönderim eylemi; alıcı alan adları; dış alıcı varlığı (dtaa.com tek iç alan adı varsayımıyla); ek sayısı.</t>
  </si>
  <si>
    <t>Ek içeriği ve hassasiyeti; ek adı/türü; dtaa.com'un tek iç alan adı olduğu; gönderen cihaz.</t>
  </si>
  <si>
    <t>MMR-A02</t>
  </si>
  <si>
    <t>076e1e1f-6169-45fe-bd33-636ee6a2629b</t>
  </si>
  <si>
    <t>2025-03-30 12:56:04.000</t>
  </si>
  <si>
    <t>To/Cc/Bcc domains: cox.net;hotmail.com;verizon.net;yahoo.com (external via: To;Cc); sender domain: hotmail.com
Ham alıcılar: To=Francis_Buckner@verizon.net;RKF261@cox.net; Cc=Dacey_Bowen@yahoo.com;Roberts_Dante@hotmail.com
Ek sayısı (Attachments): 1.0</t>
  </si>
  <si>
    <t>Size=21077.0</t>
  </si>
  <si>
    <t>MMR-A03</t>
  </si>
  <si>
    <t>0cb107aa-3e51-43d2-b2aa-ded09ec8d704</t>
  </si>
  <si>
    <t>2025-03-25 22:53:00.000</t>
  </si>
  <si>
    <t>To/Cc/Bcc domains: charter.net;msn.com;optonline.net (external via: To;Cc); sender domain: optonline.net
Ham alıcılar: To=AJR5@charter.net; Cc=Allegra_Coffey@optonline.net;Meredith.A.Wolf@msn.com
Ek sayısı (Attachments): 2.0</t>
  </si>
  <si>
    <t>Size=18242.0</t>
  </si>
  <si>
    <t>MMR-A04</t>
  </si>
  <si>
    <t>11da2039-5027-4d0b-83ad-463e6f9ddd01</t>
  </si>
  <si>
    <t>2025-03-30 10:51:26.000</t>
  </si>
  <si>
    <t>To/Cc/Bcc domains: comcast.net (external via: To); sender domain: verizon.net
Ham alıcılar: To=JMK623@comcast.net
Ek sayısı (Attachments): 1.0</t>
  </si>
  <si>
    <t>Size=52452.0</t>
  </si>
  <si>
    <t>MMR-A05</t>
  </si>
  <si>
    <t>1beb8b1f-5e5a-43f0-9341-06dd1c21e004</t>
  </si>
  <si>
    <t>2025-03-18 09:23:55.000</t>
  </si>
  <si>
    <t>To/Cc/Bcc domains: charter.net;comcast.net;gmail.com;sbcglobal.net (external via: To); sender domain: gmail.com
Ham alıcılar: To=Aladdin_Foley@comcast.net;Montana_Arnold@gmail.com;Charissa_Mcgee@charter.net;Nelle_Bowen@sbcglobal.net;Stephanie_Lyons@charter.net
Ek sayısı (Attachments): 1.0</t>
  </si>
  <si>
    <t>Size=26852.0</t>
  </si>
  <si>
    <t>MMR-A06</t>
  </si>
  <si>
    <t>24ed7a7a-1a7d-4c16-b7b5-f6559e374752</t>
  </si>
  <si>
    <t>2025-03-30 13:29:09.000</t>
  </si>
  <si>
    <t>To/Cc/Bcc domains: hotmail.com;msn.com (external via: To); sender domain: hotmail.com
Ham alıcılar: To=Ariana_Frazier@hotmail.com;Jeanette-Rivera@msn.com
Ek sayısı (Attachments): 1.0</t>
  </si>
  <si>
    <t>Size=20245.0</t>
  </si>
  <si>
    <t>MMR-A07</t>
  </si>
  <si>
    <t>28fc96be-bff1-469f-bdb8-b1be1171ab66</t>
  </si>
  <si>
    <t>2025-03-28 17:14:52.000</t>
  </si>
  <si>
    <t>To/Cc/Bcc domains: aol.com;msn.com;netzero.com;sbcglobal.net;verizon.net (external via: To;Cc); sender domain: yahoo.com
Ham alıcılar: To=Doris.Michael@aol.com;Morgan-Melyssa@sbcglobal.net;SRO185@msn.com;DRF33@netzero.com; Cc=Halee.K.Rhodes@verizon.net
Ek sayısı (Attachments): 4.0</t>
  </si>
  <si>
    <t>Size=29118.0</t>
  </si>
  <si>
    <t>MMR-A08</t>
  </si>
  <si>
    <t>3be8c465-afe8-4365-97a3-23ebfa06b758</t>
  </si>
  <si>
    <t>2025-03-23 08:44:30.000</t>
  </si>
  <si>
    <t>To/Cc/Bcc domains: bellsouth.net;charter.net;netzero.com;yahoo.com (external via: To;Cc); sender domain: verizon.net
Ham alıcılar: To=Frances_A_Wiggins@bellsouth.net;FBA866@charter.net;Clinton-Wolfe@netzero.com; Cc=Fatima_U_Mcclure@yahoo.com
Ek sayısı (Attachments): 2.0</t>
  </si>
  <si>
    <t>Size=33007.0</t>
  </si>
  <si>
    <t>MMR-A09</t>
  </si>
  <si>
    <t>40ab90e9-8d64-4461-b265-e93f30a7b588</t>
  </si>
  <si>
    <t>2025-03-19 18:39:06.000</t>
  </si>
  <si>
    <t>To/Cc/Bcc domains: comcast.net (external via: To); sender domain: earthlink.net
Ham alıcılar: To=Catherine_Bullock@comcast.net
Ek sayısı (Attachments): 1.0</t>
  </si>
  <si>
    <t>Size=24021.0</t>
  </si>
  <si>
    <t>MMR-A10</t>
  </si>
  <si>
    <t>5db4a72a-c087-4f4c-a646-17b89713bc57</t>
  </si>
  <si>
    <t>2025-03-22 14:54:31.000</t>
  </si>
  <si>
    <t>To/Cc/Bcc domains: boeing.com;dtaa.com (external via: To); sender domain: dtaa.com
Ham alıcılar: To=Levine-Christian@boeing.com; Bcc=Malachi.Thor.Butler@dtaa.com
Ek sayısı (Attachments): 1.0</t>
  </si>
  <si>
    <t>Size=21037.0</t>
  </si>
  <si>
    <t>Hayır</t>
  </si>
  <si>
    <t>—</t>
  </si>
  <si>
    <t>• Alıcılar arasında hem iç (dtaa.com) hem dış alan adı var; "en az bir dış alıcı" kuralı nedeniyle dış gönderim sayıldı.
• Ek sayısı biliniyor; ekin adı, türü ve içeriği kaynakta yok. 'Restricted' sınıflandırması doğrulanamaz.</t>
  </si>
  <si>
    <t>MMR-A11</t>
  </si>
  <si>
    <t>60da8c71-dbbe-4799-8c2c-a51cb00b7abc</t>
  </si>
  <si>
    <t>2025-03-27 20:46:37.000</t>
  </si>
  <si>
    <t>To/Cc/Bcc domains: earthlink.net;gmail.com (external via: To;Cc); sender domain: verizon.net
Ham alıcılar: To=ECL525@gmail.com;BTM9@gmail.com; Cc=DHM736@earthlink.net
Ek sayısı (Attachments): 1.0</t>
  </si>
  <si>
    <t>Size=29914.0</t>
  </si>
  <si>
    <t>MMR-A12</t>
  </si>
  <si>
    <t>7a605f50-4ded-409c-881e-e5299f79405a</t>
  </si>
  <si>
    <t>2025-03-30 11:27:06.000</t>
  </si>
  <si>
    <t>To/Cc/Bcc domains: dtaa.com;hp.com (external via: Cc); sender domain: dtaa.com
Ham alıcılar: To=Brianna.Rebecca.Mcintyre@dtaa.com;Lucas.Ahmed.Ferrell@dtaa.com; Cc=Elliott-Alden@hp.com
Ek sayısı (Attachments): 1.0</t>
  </si>
  <si>
    <t>Size=37324.0</t>
  </si>
  <si>
    <t>MMR-A13</t>
  </si>
  <si>
    <t>804f7cc3-9544-45e3-b3fa-73b07cb616e8</t>
  </si>
  <si>
    <t>2025-03-23 22:03:50.000</t>
  </si>
  <si>
    <t>To/Cc/Bcc domains: gmail.com (external via: To); sender domain: juno.com
Ham alıcılar: To=Daphne_Reilly@gmail.com
Ek sayısı (Attachments): 1.0</t>
  </si>
  <si>
    <t>Size=30173.0</t>
  </si>
  <si>
    <t>MMR-A14</t>
  </si>
  <si>
    <t>92cda7f2-b335-4c4c-b4cd-ed0918976c02</t>
  </si>
  <si>
    <t>2025-03-20 11:24:38.000</t>
  </si>
  <si>
    <t>To/Cc/Bcc domains: comcast.net;hotmail.com;optonline.net (external via: To;Cc); sender domain: optonline.net
Ham alıcılar: To=Tasha_Sanchez@optonline.net; Cc=Lucas-August@hotmail.com;AMV28@comcast.net;Noelani.W.Kennedy@optonline.net
Ek sayısı (Attachments): 6.0</t>
  </si>
  <si>
    <t>Size=38743.0</t>
  </si>
  <si>
    <t>MMR-A15</t>
  </si>
  <si>
    <t>b9c52377-6839-4e99-8036-740bc8b21613</t>
  </si>
  <si>
    <t>2025-03-30 17:10:19.000</t>
  </si>
  <si>
    <t>To/Cc/Bcc domains: charter.net;sbcglobal.net (external via: To); sender domain: msn.com
Ham alıcılar: To=HAV856@charter.net;Ferrell.Lucas@sbcglobal.net
Ek sayısı (Attachments): 1.0</t>
  </si>
  <si>
    <t>Size=24610.0</t>
  </si>
  <si>
    <t>MMR-A16</t>
  </si>
  <si>
    <t>c57e28fc-eade-4505-a6a0-90ecf66d6647</t>
  </si>
  <si>
    <t>2025-03-30 18:45:11.000</t>
  </si>
  <si>
    <t>To/Cc/Bcc domains: aol.com;charter.net;netzero.com (external via: To;Cc); sender domain: bellsouth.net
Ham alıcılar: To=Jensen_Meghan@charter.net;Nichole_Frye@netzero.com; Cc=Blair_Grimes@aol.com
Ek sayısı (Attachments): 1.0</t>
  </si>
  <si>
    <t>Size=18112.0</t>
  </si>
  <si>
    <t>MMR-A17</t>
  </si>
  <si>
    <t>d0ae277e-ef07-4df8-be34-4aba89642050</t>
  </si>
  <si>
    <t>2025-03-10 07:26:41.000</t>
  </si>
  <si>
    <t>To/Cc/Bcc domains: bellsouth.net;earthlink.net;gmail.com;netzero.com;sbcglobal.net (external via: To;Cc); sender domain: netzero.com
Ham alıcılar: To=Atkins.John@earthlink.net;Sybill_G_Mckay@gmail.com;DAG7598@sbcglobal.net;DAL9@bellsouth.net; Cc=Leah-Moran@netzero.com
Ek sayısı (Attachments): 1.0</t>
  </si>
  <si>
    <t>Size=20522.0</t>
  </si>
  <si>
    <t>MMR-A18</t>
  </si>
  <si>
    <t>dba2c0ee-ac6d-4a2e-9ec0-b130de30a197</t>
  </si>
  <si>
    <t>2025-03-30 09:41:53.000</t>
  </si>
  <si>
    <t>To/Cc/Bcc domains: boeing.com;dtaa.com (external via: Cc); sender domain: dtaa.com
Ham alıcılar: To=Medge.Nichole.Sims@dtaa.com;Ursula.Idona.Richard@dtaa.com;Daria.Felicia.Rowland@dtaa.com; Cc=Neve_G_Schmidt@boeing.com
Ek sayısı (Attachments): 1.0</t>
  </si>
  <si>
    <t>Size=38518.0</t>
  </si>
  <si>
    <t>MMR-A19</t>
  </si>
  <si>
    <t>dd7d143b-c0ec-4d9e-a18d-84f4a31b0301</t>
  </si>
  <si>
    <t>2025-03-30 09:38:14.000</t>
  </si>
  <si>
    <t>To/Cc/Bcc domains: aol.com;bellsouth.net;hotmail.com;msn.com;sbcglobal.net;verizon.net (external via: To;Cc); sender domain: msn.com
Ham alıcılar: To=Paula_I_Santiago@bellsouth.net;Morrison-Macon@verizon.net;ARD769@hotmail.com;Dale_Evan@sbcglobal.net; Cc=Ferdinand_Lee@aol.com;Athena_Foreman@msn.com
Ek sayısı (Attachments): 1.0</t>
  </si>
  <si>
    <t>Size=38126.0</t>
  </si>
  <si>
    <t>MMR-A20</t>
  </si>
  <si>
    <t>e1694cf5-8e49-4cdd-b181-b30d32181313</t>
  </si>
  <si>
    <t>2025-03-26 22:07:27.000</t>
  </si>
  <si>
    <t>To/Cc/Bcc domains: dtaa.com;lockheedmartin.com (external via: To); sender domain: dtaa.com
Ham alıcılar: To=Nicholas.Kato.Pennington@dtaa.com;Wanda.Samantha.Rogers@dtaa.com;HCM427@lockheedmartin.com; Bcc=Kareem.Porter.Collins@dtaa.com
Ek sayısı (Attachments): 1.0</t>
  </si>
  <si>
    <t>Size=31935.0</t>
  </si>
  <si>
    <t>MMR-A21</t>
  </si>
  <si>
    <t>e80662da-f9a9-4adc-a395-ae39404c52f9</t>
  </si>
  <si>
    <t>2025-03-15 13:50:36.000</t>
  </si>
  <si>
    <t>To/Cc/Bcc domains: dtaa.com;lockheedmartin.com (external via: Cc); sender domain: dtaa.com
Ham alıcılar: To=MacKensie.Mara.Grant@dtaa.com;Hadley.Leandra.May@dtaa.com;Valentine.Elton.Britt@dtaa.com;Bethany.Lydia.Lyons@dtaa.com; Cc=Kai.L.Lester@lockheedmartin.com
Ek sayısı (Attachments): 1.0</t>
  </si>
  <si>
    <t>Size=43745.0</t>
  </si>
  <si>
    <t>MMR-A22</t>
  </si>
  <si>
    <t>f694acd8-3ec5-4945-a4b4-a74806d5a645</t>
  </si>
  <si>
    <t>2025-03-29 11:05:49.000</t>
  </si>
  <si>
    <t>To/Cc/Bcc domains: gmail.com;yahoo.com (external via: To;Cc); sender domain: cox.net
Ham alıcılar: To=Keane_Blevins@yahoo.com; Cc=Sybill_G_Mckay@gmail.com
Ek sayısı (Attachments): 1.0</t>
  </si>
  <si>
    <t>Size=28061.0</t>
  </si>
  <si>
    <t>MMR-A23</t>
  </si>
  <si>
    <t>f6b8ca34-4551-49fc-ba24-3c464757763d</t>
  </si>
  <si>
    <t>2025-03-30 12:02:49.000</t>
  </si>
  <si>
    <t>To/Cc/Bcc domains: aol.com;comcast.net;hotmail.com;optonline.net (external via: To;Cc); sender domain: optonline.net
Ham alıcılar: To=NRD335@hotmail.com;JMH27@optonline.net;Weiss-Howard@comcast.net; Cc=Kylie.B.Greer@aol.com
Ek sayısı (Attachments): 2.0</t>
  </si>
  <si>
    <t>Size=60827.0</t>
  </si>
  <si>
    <t>MMR-A24</t>
  </si>
  <si>
    <t>fee8b5ff-31e8-442f-a78a-155c0102aac3</t>
  </si>
  <si>
    <t>2025-03-21 12:44:48.000</t>
  </si>
  <si>
    <t>To/Cc/Bcc domains: dtaa.com;harris.com (external via: Cc); sender domain: dtaa.com
Ham alıcılar: To=Winter.Veda.Burks@dtaa.com; Cc=Melodie-Perkins@harris.com; Bcc=Chelsea.Aspen.Allen@dtaa.com
Ek sayısı (Attachments): 2.0</t>
  </si>
  <si>
    <t>Size=20498.0</t>
  </si>
  <si>
    <t>MMR-A25</t>
  </si>
  <si>
    <t>ff48ca8e-1d9c-4da8-8e69-0064217850ac</t>
  </si>
  <si>
    <t>2025-03-30 09:51:25.000</t>
  </si>
  <si>
    <t>To/Cc/Bcc domains: aol.com;charter.net (external via: To;Cc); sender domain: cox.net
Ham alıcılar: To=Whoopi.B.Camacho@aol.com;MacKenzie.K.Stewart@charter.net; Cc=Delilah.P.Schneider@aol.com
Ek sayısı (Attachments): 1.0</t>
  </si>
  <si>
    <t>Size=33786.0</t>
  </si>
  <si>
    <t>MMR-B01</t>
  </si>
  <si>
    <t>HTTP / bulut</t>
  </si>
  <si>
    <t>Bulut listesi eşleşmesi (liste girdisi başına 1: dropbox.com)</t>
  </si>
  <si>
    <t>ba0c1f57-ba31-4460-bafa-2c93a91c4f6a</t>
  </si>
  <si>
    <t>2025-03-10 09:49:15.000</t>
  </si>
  <si>
    <t>URL accedida</t>
  </si>
  <si>
    <t>Host: dropbox.com
URL: http://dropbox.com/National_Anthem_of_Russia/patrioticheskaya/vcbqfgbpxubyqrefrdhvgl1498761767.jsp</t>
  </si>
  <si>
    <t>none (Size, Size_before, Size_after empty)</t>
  </si>
  <si>
    <t>channel=CloudUpload; content_type=CloudService; data_classification=Confidential; destination_trust=Untrusted; device_trust=Managed; file_type=OTHER; size_mb=0</t>
  </si>
  <si>
    <t>REQ_CLOUD_TRANSFER</t>
  </si>
  <si>
    <t>HTTP: host(Url) minus 'www.' equals or is a subdomain of a fixed cloud-list entry -&gt; CloudUpload/CloudService/Confidential (metadata proxy); else Web/WebRequest/Public; all Untrusted</t>
  </si>
  <si>
    <t>• Kaynakta boyut alanı yok; size_mb=0 atandı.
• Host sabit bulut listesinde, ancak kayıt yalnızca URL erişimi. HTTP metodu, aktarılan bayt veya yükleme göstergesi yok; CloudUpload bir vekil (proxy) eşlemedir, dosya yüklemesi doğrulanmış değildir.</t>
  </si>
  <si>
    <t>URL erişimi; host adı; hostun sabit bulut listesinde olması.</t>
  </si>
  <si>
    <t>Dosya yüklemesi; veri hassasiyeti; hedef güven düzeyi; boyut.</t>
  </si>
  <si>
    <t>MMR-B02</t>
  </si>
  <si>
    <t>Bulut listesi eşleşmesi (liste girdisi başına 1: github.com)</t>
  </si>
  <si>
    <t>526ca632-efac-4374-ab5e-ae8b1ccc20e2</t>
  </si>
  <si>
    <t>2025-03-30 12:36:48.658</t>
  </si>
  <si>
    <t>Host: docs.github.com
URL: https://docs.github.com/es/authentication/connecting-to-github-with-ssh/generating-a-new-ssh-key-and-adding-it-to-the-ssh-agent</t>
  </si>
  <si>
    <t>MMR-B03</t>
  </si>
  <si>
    <t>Bulut listesi eşleşmesi (liste girdisi başına 1: mediafire.com)</t>
  </si>
  <si>
    <t>face5f6b-2d19-425e-8545-64a37d570429</t>
  </si>
  <si>
    <t>2025-03-19 09:42:06.000</t>
  </si>
  <si>
    <t>Host: mediafire.com
URL: http://mediafire.com/Manchester_SmallScale_Experimental_Machine/npl/vaterqvragfbhgyrgpragrefubccvatergheabavairfgzrag1105950029.aspx</t>
  </si>
  <si>
    <t>MMR-B04</t>
  </si>
  <si>
    <t>Bulut listesi eşleşmesi (liste girdisi başına 1: sourceforge.net)</t>
  </si>
  <si>
    <t>401c84ec-4156-4a08-9f8d-520a61e9630b</t>
  </si>
  <si>
    <t>2025-03-30 11:12:45.000</t>
  </si>
  <si>
    <t>Host: sourceforge.net
URL: http://sourceforge.net/Elizabeth_Canning/canningites/ovyyvneqfobbxfsver1625813682.htm</t>
  </si>
  <si>
    <t>MMR-B05</t>
  </si>
  <si>
    <t>Bulut listesi eşleşmesi (rastgele)</t>
  </si>
  <si>
    <t>0fa3b756-6b8c-487d-beb2-3c85e5cf30d7</t>
  </si>
  <si>
    <t>2025-03-30 10:30:52.000</t>
  </si>
  <si>
    <t>Host: mediafire.com
URL: http://mediafire.com/Nathu_La/yadong/gernqzvyyyrnqrefuvc679300522.asp</t>
  </si>
  <si>
    <t>MMR-B06</t>
  </si>
  <si>
    <t>1113e7b2-91ec-4f37-8542-9f1773dfeaf6</t>
  </si>
  <si>
    <t>2025-03-30 13:48:17.000</t>
  </si>
  <si>
    <t>MMR-B07</t>
  </si>
  <si>
    <t>13ffe4a4-5e06-4c6e-803b-d2440f8d2764</t>
  </si>
  <si>
    <t>2025-03-11 08:45:13.000</t>
  </si>
  <si>
    <t>Host: mediafire.com
URL: http://mediafire.com/Bobcat/lynx/svpgvbajnyxvatfubrfserfujngresvfuvatobngfnsrgl884317542.aspx</t>
  </si>
  <si>
    <t>MMR-B08</t>
  </si>
  <si>
    <t>270ddba4-6783-4a4b-a72f-84f134ecb268</t>
  </si>
  <si>
    <t>2025-03-06 16:36:35.000</t>
  </si>
  <si>
    <t>MMR-B09</t>
  </si>
  <si>
    <t>2992f185-fed6-4745-a626-1118e54fc10f</t>
  </si>
  <si>
    <t>2025-03-28 10:34:59.000</t>
  </si>
  <si>
    <t>MMR-B10</t>
  </si>
  <si>
    <t>56c98592-ab1d-410e-8c66-35d479cee10b</t>
  </si>
  <si>
    <t>2025-03-16 11:13:27.000</t>
  </si>
  <si>
    <t>MMR-B11</t>
  </si>
  <si>
    <t>5f0546f6-f417-472c-84aa-c42798dfb262</t>
  </si>
  <si>
    <t>2025-03-16 15:37:32.000</t>
  </si>
  <si>
    <t>MMR-B12</t>
  </si>
  <si>
    <t>6e217eec-0a95-4fca-87de-233f46519e9a</t>
  </si>
  <si>
    <t>2025-03-30 11:27:07.000</t>
  </si>
  <si>
    <t>MMR-B13</t>
  </si>
  <si>
    <t>7738148b-bb08-4595-89a5-08c613bc8667</t>
  </si>
  <si>
    <t>2025-03-27 22:20:03.000</t>
  </si>
  <si>
    <t>MMR-B14</t>
  </si>
  <si>
    <t>7f16485d-e83e-4f37-8121-09fcf6956189</t>
  </si>
  <si>
    <t>2025-03-19 17:17:04.000</t>
  </si>
  <si>
    <t>MMR-B15</t>
  </si>
  <si>
    <t>81f408fa-f4d9-4210-a3dd-f4c0d1ee837a</t>
  </si>
  <si>
    <t>2025-03-30 12:03:11.000</t>
  </si>
  <si>
    <t>MMR-B16</t>
  </si>
  <si>
    <t>89afb7fc-aaef-41e9-9bf8-a96130070441</t>
  </si>
  <si>
    <t>2025-03-08 17:19:18.000</t>
  </si>
  <si>
    <t>MMR-B17</t>
  </si>
  <si>
    <t>9160cc3a-e43a-4943-8018-87ddb050b3b8</t>
  </si>
  <si>
    <t>2025-03-12 08:12:25.000</t>
  </si>
  <si>
    <t>MMR-B18</t>
  </si>
  <si>
    <t>97334231-471c-415f-bb0a-1e7139cadf28</t>
  </si>
  <si>
    <t>2025-03-23 08:09:08.000</t>
  </si>
  <si>
    <t>Host: sourceforge.net
URL: http://sourceforge.net/Calvin_Coolidge/haugen/zragbegnkvqrezl1435610816.htm</t>
  </si>
  <si>
    <t>MMR-B19</t>
  </si>
  <si>
    <t>a14c18dc-6db5-4034-96e2-690879778121</t>
  </si>
  <si>
    <t>2025-03-30 09:53:01.000</t>
  </si>
  <si>
    <t>MMR-B20</t>
  </si>
  <si>
    <t>b213a65a-7eda-4bcb-b963-e5d984fe326d</t>
  </si>
  <si>
    <t>2025-03-30 12:04:21.000</t>
  </si>
  <si>
    <t>MMR-B21</t>
  </si>
  <si>
    <t>ce5db96b-ecfd-4301-a03f-01a24badfa3c</t>
  </si>
  <si>
    <t>2025-03-10 07:34:01.000</t>
  </si>
  <si>
    <t>MMR-B22</t>
  </si>
  <si>
    <t>db5774c3-f90a-4282-8b2f-1983cd30a8a3</t>
  </si>
  <si>
    <t>2025-03-22 08:04:04.000</t>
  </si>
  <si>
    <t>MMR-B23</t>
  </si>
  <si>
    <t>efcdce4b-b15e-4eb8-a9b5-7efc19cd7de5</t>
  </si>
  <si>
    <t>2025-03-13 13:45:49.000</t>
  </si>
  <si>
    <t>Host: dropbox.com
URL: http://dropbox.com/Ariel_moon/uranian/pyrnavatyrnqrefuvcpbfgvatonaqjvqgu1095891655.aspx</t>
  </si>
  <si>
    <t>MMR-B24</t>
  </si>
  <si>
    <t>f0ae966c-03c6-4744-b26e-a90d3b29bd31</t>
  </si>
  <si>
    <t>2025-03-12 10:41:27.000</t>
  </si>
  <si>
    <t>MMR-B25</t>
  </si>
  <si>
    <t>fb919a75-7312-4302-8b3b-0788e076e8f6</t>
  </si>
  <si>
    <t>2025-03-19 15:23:14.000</t>
  </si>
  <si>
    <t>MMR-C01</t>
  </si>
  <si>
    <t>Çıkarılabilir cihaz</t>
  </si>
  <si>
    <t>Cihaz bağlantısı (USB koruma kapsamı)</t>
  </si>
  <si>
    <t>0d38f558-4158-4f4b-b579-b4eaccd22d0d</t>
  </si>
  <si>
    <t>2025-03-30 13:46:17.000</t>
  </si>
  <si>
    <t>Connect</t>
  </si>
  <si>
    <t>Action=Connect; decoder=cert; no device id, vendor, serial, bus type or management field in source</t>
  </si>
  <si>
    <t>channel=USB; content_type=DeviceConnect; data_classification=Internal; destination_trust=Untrusted; device_trust=Unmanaged; file_type=OTHER; size_mb=0</t>
  </si>
  <si>
    <t>REQ_USB_CONNECT</t>
  </si>
  <si>
    <t>DEVICE: Action=='Connect' -&gt; DeviceConnect (in REQ_USB_CONNECT scope); 'Disconnect' -&gt; DeviceDisconnect; all USB/Untrusted/Unmanaged (assumed)</t>
  </si>
  <si>
    <t>• Kaynakta boyut alanı yok; size_mb=0 atandı.
• Kaynakta cihaz yönetim durumu yok; 'Unmanaged' her cihaza varsayım olarak atanır.
• Cihaz kimliği, üretici, seri numarası veya cihaz türü bilgisi yok.</t>
  </si>
  <si>
    <t>Bağlanma/ayrılma eylemi; zaman damgası.</t>
  </si>
  <si>
    <t>Cihazın yönetim durumu (Unmanaged varsayım); cihaz türü; cihaza veri yazılıp yazılmadığı.</t>
  </si>
  <si>
    <t>MMR-C02</t>
  </si>
  <si>
    <t>0d65f06a-d891-413f-ba5f-60384b0e1d38</t>
  </si>
  <si>
    <t>2025-03-21 15:31:13.000</t>
  </si>
  <si>
    <t>MMR-C03</t>
  </si>
  <si>
    <t>1ab2a200-308c-484d-91d6-87e4bf341603</t>
  </si>
  <si>
    <t>2025-03-26 10:28:11.000</t>
  </si>
  <si>
    <t>MMR-C04</t>
  </si>
  <si>
    <t>23a39269-4d51-4832-abcb-8e78484409ba</t>
  </si>
  <si>
    <t>2025-03-30 10:37:20.000</t>
  </si>
  <si>
    <t>MMR-C05</t>
  </si>
  <si>
    <t>246afd82-0f60-4a8d-afa9-837782a01586</t>
  </si>
  <si>
    <t>2025-03-20 11:24:32.000</t>
  </si>
  <si>
    <t>MMR-C06</t>
  </si>
  <si>
    <t>37eddf4d-a084-47a9-8934-b4f7507fcb13</t>
  </si>
  <si>
    <t>2025-03-23 22:50:24.000</t>
  </si>
  <si>
    <t>MMR-C07</t>
  </si>
  <si>
    <t>39b319ad-9b68-4648-9555-e8544a053d5b</t>
  </si>
  <si>
    <t>2025-03-08 08:38:33.000</t>
  </si>
  <si>
    <t>MMR-C08</t>
  </si>
  <si>
    <t>3c841c3a-d463-4ddd-968b-39c171c867da</t>
  </si>
  <si>
    <t>2025-03-26 12:44:56.000</t>
  </si>
  <si>
    <t>MMR-C09</t>
  </si>
  <si>
    <t>65df2a2b-bdd6-4ddd-bf39-f6174fe90bcd</t>
  </si>
  <si>
    <t>2025-03-20 09:06:47.000</t>
  </si>
  <si>
    <t>MMR-C10</t>
  </si>
  <si>
    <t>6e09ba04-5fb0-410a-9745-8e4db753aef5</t>
  </si>
  <si>
    <t>2025-03-30 19:05:28.000</t>
  </si>
  <si>
    <t>MMR-C11</t>
  </si>
  <si>
    <t>7d29ddfb-68df-46a2-b6ad-83fd752ed87c</t>
  </si>
  <si>
    <t>2025-03-06 18:09:08.000</t>
  </si>
  <si>
    <t>MMR-C12</t>
  </si>
  <si>
    <t>9c78a972-0cb3-43f6-8dd0-c329a7fb6de7</t>
  </si>
  <si>
    <t>2025-03-23 22:54:23.000</t>
  </si>
  <si>
    <t>MMR-C13</t>
  </si>
  <si>
    <t>a703dc90-1c56-4369-b81f-72fa6bea6787</t>
  </si>
  <si>
    <t>2025-03-30 18:23:00.000</t>
  </si>
  <si>
    <t>MMR-C14</t>
  </si>
  <si>
    <t>a7cf8fd7-1444-4d77-88ca-417933edc3b5</t>
  </si>
  <si>
    <t>2025-03-30 10:29:49.000</t>
  </si>
  <si>
    <t>MMR-C15</t>
  </si>
  <si>
    <t>b41ade08-24f5-4f3a-8a9e-9071d1fe2568</t>
  </si>
  <si>
    <t>2025-03-26 06:39:33.000</t>
  </si>
  <si>
    <t>MMR-C16</t>
  </si>
  <si>
    <t>bb7c3a2a-5180-4cca-8cea-6493f570ca52</t>
  </si>
  <si>
    <t>2025-03-30 09:56:07.000</t>
  </si>
  <si>
    <t>MMR-C17</t>
  </si>
  <si>
    <t>bcfd1b26-7e0f-4c08-ae30-2330d74dd9d8</t>
  </si>
  <si>
    <t>2025-03-26 15:07:36.000</t>
  </si>
  <si>
    <t>MMR-C18</t>
  </si>
  <si>
    <t>c6a10558-7824-4a9d-ad26-2881d4a6e358</t>
  </si>
  <si>
    <t>2025-03-23 19:11:00.000</t>
  </si>
  <si>
    <t>MMR-C19</t>
  </si>
  <si>
    <t>c949935f-9392-4417-ad5f-892adedd8f40</t>
  </si>
  <si>
    <t>2025-03-30 18:41:02.000</t>
  </si>
  <si>
    <t>MMR-C20</t>
  </si>
  <si>
    <t>de76a006-f7d1-406f-94d0-7dc51ff0d848</t>
  </si>
  <si>
    <t>2025-03-30 18:49:18.000</t>
  </si>
  <si>
    <t>MMR-C21</t>
  </si>
  <si>
    <t>e5313066-3973-437e-a9b7-42530c3b07ae</t>
  </si>
  <si>
    <t>2025-03-25 00:58:44.000</t>
  </si>
  <si>
    <t>MMR-C22</t>
  </si>
  <si>
    <t>e9233ea3-d1e1-4225-8dfc-a5e3380ca4bd</t>
  </si>
  <si>
    <t>2025-03-23 19:00:01.000</t>
  </si>
  <si>
    <t>MMR-C23</t>
  </si>
  <si>
    <t>f0ba4124-0464-45ff-bfea-a446d5fae09e</t>
  </si>
  <si>
    <t>2025-03-18 10:34:11.000</t>
  </si>
  <si>
    <t>MMR-C24</t>
  </si>
  <si>
    <t>f5addc8a-755c-436a-b5bd-ca7c0f421892</t>
  </si>
  <si>
    <t>2025-03-24 08:16:32.000</t>
  </si>
  <si>
    <t>MMR-C25</t>
  </si>
  <si>
    <t>ff6ff18a-7cd0-400a-9eb6-102bd27d12b3</t>
  </si>
  <si>
    <t>2025-03-24 07:41:39.000</t>
  </si>
  <si>
    <t>MMR-D01</t>
  </si>
  <si>
    <t>Dosya</t>
  </si>
  <si>
    <t>Path var, tanınan uzantı</t>
  </si>
  <si>
    <t>65a12961-9abe-4802-96c6-b3667db5b6f3</t>
  </si>
  <si>
    <t>2025-03-28 09:37:00.760</t>
  </si>
  <si>
    <t>File added</t>
  </si>
  <si>
    <t>Filename: (yok)
Path: /home/camilo/prueba.txt</t>
  </si>
  <si>
    <t>Size_after=0.0</t>
  </si>
  <si>
    <t>channel=EndpointApp; content_type=FileOperation; data_classification=Internal; destination_trust=Trusted; device_trust=Managed; file_type=TXT; size_mb=0</t>
  </si>
  <si>
    <t>none</t>
  </si>
  <si>
    <t>FILE: sensitivity keyword in Path -&gt; SensitiveFile/Confidential; else FileOperation/Internal; file_type from extension of Filename (else Path) in {pdf,docx,xlsx,csv,zip,txt} else OTHER</t>
  </si>
  <si>
    <t>• Kaynakta boyut alanı yok; size_mb=0 atandı.</t>
  </si>
  <si>
    <t>Dosya eylemi; dosya adı veya yolu; uzantı.</t>
  </si>
  <si>
    <t>Dosya içeriğinin hassasiyeti; gerçek dosya biçimi (yalnızca uzantı var); Path yoksa dizin konumu.</t>
  </si>
  <si>
    <t>MMR-D02</t>
  </si>
  <si>
    <t>77c485bf-46d4-47b0-828a-547e6857b062</t>
  </si>
  <si>
    <t>2025-03-14 12:54:50.270</t>
  </si>
  <si>
    <t>File modified</t>
  </si>
  <si>
    <t>Filename: (yok)
Path: /home/olaya/flag.txt</t>
  </si>
  <si>
    <t>Size_before=0.0; Size_after=636.0</t>
  </si>
  <si>
    <t>channel=EndpointApp; content_type=FileOperation; data_classification=Internal; destination_trust=Trusted; device_trust=Managed; file_type=TXT; size_mb=1</t>
  </si>
  <si>
    <t>MMR-D03</t>
  </si>
  <si>
    <t>d7dc182f-9931-4055-a839-37ee97a17d88</t>
  </si>
  <si>
    <t>2025-03-09 17:48:00.227</t>
  </si>
  <si>
    <t>File deleted</t>
  </si>
  <si>
    <t>Filename: (yok)
Path: /home/olaya/archivo_3.csv</t>
  </si>
  <si>
    <t>channel=EndpointApp; content_type=FileOperation; data_classification=Internal; destination_trust=Trusted; device_trust=Managed; file_type=CSV; size_mb=0</t>
  </si>
  <si>
    <t>MMR-D04</t>
  </si>
  <si>
    <t>e21c5d78-ff9a-4fdb-9c3a-afb158074ff4</t>
  </si>
  <si>
    <t>2025-03-17 13:55:37.339</t>
  </si>
  <si>
    <t>Size_after=636.0</t>
  </si>
  <si>
    <t>MMR-D05</t>
  </si>
  <si>
    <t>eaa6f5c3-b38e-42ff-9145-6e42d44a5a29</t>
  </si>
  <si>
    <t>2025-03-17 09:57:28.609</t>
  </si>
  <si>
    <t>MMR-D06</t>
  </si>
  <si>
    <t>Path var, tanınmayan/eksik uzantı (OTHER)</t>
  </si>
  <si>
    <t>233b26e4-c3dd-43b5-8483-a5668cee625d</t>
  </si>
  <si>
    <t>2025-03-12 18:00:22.084</t>
  </si>
  <si>
    <t>Filename: (yok)
Path: /home/olaya/archivo_3.html</t>
  </si>
  <si>
    <t>channel=EndpointApp; content_type=FileOperation; data_classification=Internal; destination_trust=Trusted; device_trust=Managed; file_type=OTHER; size_mb=0</t>
  </si>
  <si>
    <t>• Uzantı tanımlı dosya türleri (PDF, DOCX, XLSX, CSV, ZIP, TXT) arasında değil; file_type=OTHER.</t>
  </si>
  <si>
    <t>MMR-D07</t>
  </si>
  <si>
    <t>2adf6c75-6c30-4c5a-b4a6-4d38675c3507</t>
  </si>
  <si>
    <t>2025-03-15 08:34:07.666</t>
  </si>
  <si>
    <t>Filename: (yok)
Path: /etc/apache2/sites-available/000-default.conf</t>
  </si>
  <si>
    <t>Size_before=1332.0; Size_after=1357.0</t>
  </si>
  <si>
    <t>channel=EndpointApp; content_type=FileOperation; data_classification=Internal; destination_trust=Trusted; device_trust=Managed; file_type=OTHER; size_mb=1</t>
  </si>
  <si>
    <t>MMR-D08</t>
  </si>
  <si>
    <t>2db1638f-aefc-4b4b-9270-193a48b30031</t>
  </si>
  <si>
    <t>2025-03-12 16:43:35.655</t>
  </si>
  <si>
    <t>Filename: (yok)
Path: /home/olaya/archivo_2.html</t>
  </si>
  <si>
    <t>MMR-D09</t>
  </si>
  <si>
    <t>ba8c6604-6dc4-4ce7-a5b9-610fb700ddb5</t>
  </si>
  <si>
    <t>2025-03-27 19:26:52.628</t>
  </si>
  <si>
    <t>Filename: (yok)
Path: /home/ubuntu/shadow</t>
  </si>
  <si>
    <t>Size_after=1428.0</t>
  </si>
  <si>
    <t>• Dosyanın uzantısı yok; file_type=OTHER.</t>
  </si>
  <si>
    <t>MMR-D10</t>
  </si>
  <si>
    <t>c650cbbc-47a6-45ce-b9a2-85dd353a34b8</t>
  </si>
  <si>
    <t>2025-03-25 10:41:58.641</t>
  </si>
  <si>
    <t>Filename: (yok)
Path: /etc/ld.so.cache</t>
  </si>
  <si>
    <t>Size_after=30561.0</t>
  </si>
  <si>
    <t>MMR-D11</t>
  </si>
  <si>
    <t>Path var, hassasiyet anahtar kelimesi eşleşti</t>
  </si>
  <si>
    <t>1380b536-4532-47d8-8ff2-d912782159b5</t>
  </si>
  <si>
    <t>2025-03-21 18:12:54.672</t>
  </si>
  <si>
    <t>Filename: (yok)
Path: /var/www/backup_20250319175740.tar.gz</t>
  </si>
  <si>
    <t>Size_after=2334801920.0</t>
  </si>
  <si>
    <t>channel=EndpointApp; content_type=SensitiveFile; data_classification=Confidential; destination_trust=Trusted; device_trust=Managed; file_type=OTHER; size_mb=2227</t>
  </si>
  <si>
    <t>• Yolda hassasiyet anahtar kelimesi eşleşti; SensitiveFile/Confidential yalnızca bu kelime eşleşmesine dayanıyor, dosya içeriği doğrulanmadı.
• Uzantı tanımlı dosya türleri (PDF, DOCX, XLSX, CSV, ZIP, TXT) arasında değil; file_type=OTHER.</t>
  </si>
  <si>
    <t>MMR-D12</t>
  </si>
  <si>
    <t>62276434-8ec1-40f7-a6b9-5c6025e36a6b</t>
  </si>
  <si>
    <t>2025-03-09 15:31:11.341</t>
  </si>
  <si>
    <t>Filename: (yok)
Path: /var/www/backup_20250309163108.tar.gz</t>
  </si>
  <si>
    <t>channel=EndpointApp; content_type=SensitiveFile; data_classification=Confidential; destination_trust=Trusted; device_trust=Managed; file_type=OTHER; size_mb=0</t>
  </si>
  <si>
    <t>MMR-D13</t>
  </si>
  <si>
    <t>929d0199-74f3-4e18-8fbe-9e1fcbf2526c</t>
  </si>
  <si>
    <t>2025-03-25 11:46:25.210</t>
  </si>
  <si>
    <t>Filename: (yok)
Path: /var/www/backup_20250323174111.tar.gz</t>
  </si>
  <si>
    <t>Size_before=-1699504128.0; Size_after=2595463168.0</t>
  </si>
  <si>
    <t>channel=EndpointApp; content_type=SensitiveFile; data_classification=Confidential; destination_trust=Trusted; device_trust=Managed; file_type=OTHER; size_mb=2476</t>
  </si>
  <si>
    <t>MMR-D14</t>
  </si>
  <si>
    <t>9c4688c3-e4b5-4a36-b603-06196a31efa6</t>
  </si>
  <si>
    <t>2025-03-08 12:04:57.461</t>
  </si>
  <si>
    <t>Filename: (yok)
Path: /var/www/backup_20250308120455.tar.gz</t>
  </si>
  <si>
    <t>MMR-D15</t>
  </si>
  <si>
    <t>c06a0d3e-484e-4eae-97d3-15a07137c01a</t>
  </si>
  <si>
    <t>2025-03-30 15:37:28.254</t>
  </si>
  <si>
    <t>Filename: (yok)
Path: /var/www/backup_20250330153725.tar.gz</t>
  </si>
  <si>
    <t>MMR-D16</t>
  </si>
  <si>
    <t>Yalnızca dosya adı, tanınan uzantı</t>
  </si>
  <si>
    <t>0c6b3763-150d-49cf-af84-cc9c09cf8f4f</t>
  </si>
  <si>
    <t>2025-03-30 11:01:37.000</t>
  </si>
  <si>
    <t>File accessed</t>
  </si>
  <si>
    <t>Filename: NM8BI055.txt
Path: (yok)</t>
  </si>
  <si>
    <t>• Path yok, yalnızca dosya adı var; yol tabanlı hassasiyet kuralı uygulanamadı ve varsayılan FileOperation/Internal atandı.</t>
  </si>
  <si>
    <t>MMR-D17</t>
  </si>
  <si>
    <t>445e1183-b590-4206-94f8-2805178110c1</t>
  </si>
  <si>
    <t>2025-03-27 20:36:59.000</t>
  </si>
  <si>
    <t>Filename: JOAAVVR3.txt
Path: (yok)</t>
  </si>
  <si>
    <t>MMR-D18</t>
  </si>
  <si>
    <t>518c8ac5-c7f9-4760-bcaa-bef5c541c0ad</t>
  </si>
  <si>
    <t>2025-03-25 22:58:54.000</t>
  </si>
  <si>
    <t>Filename: R496AUX4.pdf
Path: (yok)</t>
  </si>
  <si>
    <t>channel=EndpointApp; content_type=FileOperation; data_classification=Internal; destination_trust=Trusted; device_trust=Managed; file_type=PDF; size_mb=0</t>
  </si>
  <si>
    <t>MMR-D19</t>
  </si>
  <si>
    <t>740f2848-9fb1-4769-afe0-3715a061b17c</t>
  </si>
  <si>
    <t>2025-03-23 21:20:24.000</t>
  </si>
  <si>
    <t>Filename: LXFWABP8.pdf
Path: (yok)</t>
  </si>
  <si>
    <t>MMR-D20</t>
  </si>
  <si>
    <t>ef9de1ee-c1ee-4731-b62d-8ad662d251b7</t>
  </si>
  <si>
    <t>2025-03-09 10:25:28.000</t>
  </si>
  <si>
    <t>Filename: ZD28OK2Z.pdf
Path: (yok)</t>
  </si>
  <si>
    <t>MMR-D21</t>
  </si>
  <si>
    <t>Yalnızca dosya adı, .doc uzantısı (OTHER)</t>
  </si>
  <si>
    <t>3b040ea7-bdf9-48ba-9600-ecaa28fd4385</t>
  </si>
  <si>
    <t>2025-03-23 12:49:45.000</t>
  </si>
  <si>
    <t>Filename: CWLGAWEE.doc
Path: (yok)</t>
  </si>
  <si>
    <t>• Path yok, yalnızca dosya adı var; yol tabanlı hassasiyet kuralı uygulanamadı ve varsayılan FileOperation/Internal atandı.
• Uzantı tanımlı dosya türleri (PDF, DOCX, XLSX, CSV, ZIP, TXT) arasında değil; file_type=OTHER.</t>
  </si>
  <si>
    <t>MMR-D22</t>
  </si>
  <si>
    <t>87563c01-4074-4617-9304-e9ae836ffabb</t>
  </si>
  <si>
    <t>2025-03-30 10:32:19.000</t>
  </si>
  <si>
    <t>Filename: ROYK0KCP.doc
Path: (yok)</t>
  </si>
  <si>
    <t>MMR-D23</t>
  </si>
  <si>
    <t>dd1580e5-6706-4af8-8165-4f1420b9d117</t>
  </si>
  <si>
    <t>2025-03-30 11:34:22.000</t>
  </si>
  <si>
    <t>Filename: IW0IIELI.doc
Path: (yok)</t>
  </si>
  <si>
    <t>MMR-D24</t>
  </si>
  <si>
    <t>de8bf038-8af2-4751-b2a2-75ed2cef3416</t>
  </si>
  <si>
    <t>2025-03-30 13:30:16.000</t>
  </si>
  <si>
    <t>Filename: 0YBIMDDB.doc
Path: (yok)</t>
  </si>
  <si>
    <t>MMR-D25</t>
  </si>
  <si>
    <t>f046485a-2aaa-4fbd-aa8f-e2afa05f808a</t>
  </si>
  <si>
    <t>2025-03-26 00:39:41.000</t>
  </si>
  <si>
    <t>Filename: 72UEJ6HR.doc
Path: (yok)</t>
  </si>
  <si>
    <t>Kayıt</t>
  </si>
  <si>
    <t>Otomatik: kurala uygun</t>
  </si>
  <si>
    <t>Otomatik: belirsiz bayrağı</t>
  </si>
  <si>
    <t>Yazar: 1 destekliyor</t>
  </si>
  <si>
    <t>Yazar: 2 bağlam yetersiz</t>
  </si>
  <si>
    <t>Yazar: 3 hatalı</t>
  </si>
  <si>
    <t>Yazar: 4 karar verilemedi</t>
  </si>
  <si>
    <t>Yazar: değerlendirilmemiş</t>
  </si>
  <si>
    <t>Toplam</t>
  </si>
  <si>
    <t>C–D sütunları otomatik ön analizdir; E–I sütunları yalnızca 'İnceleme' sayfasındaki yazar girişlerinden hesaplanır.</t>
  </si>
  <si>
    <t>1 - Mevcut metadata eşlemeyi destekliyor</t>
  </si>
  <si>
    <t>2 - Eşleme kurala uygun, ancak gerçek DLP anlamı için bağlam yetersiz</t>
  </si>
  <si>
    <t>3 - Eşleme hatalı</t>
  </si>
  <si>
    <t>4 - Karar verilemedi</t>
  </si>
  <si>
    <t>Alıcılar ve iki ek bulunduğu görülüyor. Ek içeriği bilinmediğinden Restricted sınıfı doğrulanamıyor; gönderenin kurumsal bağlamı da belirsiz</t>
  </si>
  <si>
    <t>Dış alıcılar ve bir ek bulunduğu görülüyor. Ekin içeriği bilinmediği için Restricted sınıfı doğrulanamıyor. Gönderenin kurumsal bağlamı da belirli değil.</t>
  </si>
  <si>
    <t>İki ek ve tanımlanan iç alan adı dışında alıcılar mevcut. Eklerin içeriği veya sınıflandırma etiketi verilmediğinden Restricted eşlemesi doğrulanamıyor. Kurumsal gönderim bağlamı belirsiz.</t>
  </si>
  <si>
    <t>Bir ek ve iç alan adı dışında bir alıcı görülüyor. Ek içeriği bilinmediğinden Restricted sınıfı doğrulanamıyor; gönderenin kurumla ilişkisi de kaynakta belirtilmiyor.</t>
  </si>
  <si>
    <t>Dış alıcılara bir ek gönderildiği görülüyor. Ekin hassasiyetini gösteren içerik veya etiket bulunmadığından Restricted sınıfı doğrulanamıyor. Gönderenin kurumsal bağlamı da belirsiz.</t>
  </si>
  <si>
    <t>Bir ekin tanımlanan iç alan adı dışındaki alıcılara gönderildiği görülüyor. Ek içeriği ve hassasiyet etiketi bulunmadığından Restricted sınıfı doğrulanamıyor. Kurumsal gönderim bağlamı da belirsiz</t>
  </si>
  <si>
    <t>Dış alıcılara dört ek gönderildiği görülüyor. Eklerin içerikleri veya sınıflandırma etiketleri bulunmadığından Restricted eşlemesi doğrulanamıyor. Gönderenin kurumsal bağlamı da belirsiz.</t>
  </si>
  <si>
    <t>İki ekin dış alıcılara gönderildiği görülüyor. Eklerin içerikleri veya hassasiyet etiketleri bulunmadığından Restricted sınıfı doğrulanamıyor. Gönderenin kurumsal bağlamı da belirsiz.</t>
  </si>
  <si>
    <t>Bir ekin dış alıcıya gönderildiği görülüyor. Ekin içeriği veya hassasiyet etiketi bulunmadığından Restricted sınıfı doğrulanamıyor. Gönderenin kurumla ilişkisi kaynakta belirtilmiyor</t>
  </si>
  <si>
    <t>Tanımlanan iç alan adından bir dış alıcıya ek gönderildiği görülüyor. İç alıcının da bulunması dış gönderimi ortadan kaldırmıyor. Ekin içeriği veya hassasiyet etiketi olmadığından Restricted sınıfı doğrulanamıyor.</t>
  </si>
  <si>
    <t>Dış alıcılara bir ek gönderildiği görülüyor. Ek içeriği veya sınıflandırma etiketi bulunmadığından Restricted sınıfı doğrulanamıyor. Gönderenin kurumsal bağlamı da belirsiz.</t>
  </si>
  <si>
    <t>To alıcıları iç alan adında olsa da Cc’de dış alıcı bulunduğundan dış gönderim eşlemesi kurala uygun. Ekin içeriği veya hassasiyet etiketi bulunmadığı için Restricted sınıfı doğrulanamıyor</t>
  </si>
  <si>
    <t>Bir ekin dış alıcıya gönderildiği görülüyor. Ek içeriği veya hassasiyet etiketi bulunmadığından Restricted sınıfı doğrulanamıyor. Gönderenin kurumla ilişkisi kaynakta belirtilmiyor.</t>
  </si>
  <si>
    <t>Dış alıcılara altı ek gönderildiği görülüyor. Eklerin içerikleri veya hassasiyet etiketleri bulunmadığından Restricted sınıfı doğrulanamıyor. Gönderimin kurumsal bağlamı da belirsiz.</t>
  </si>
  <si>
    <t>Dış alıcılara bir ek gönderildiği görülüyor. Ekin içeriği veya hassasiyet etiketi bulunmadığından Restricted sınıfı doğrulanamıyor. Gönderenin kurumla ilişkisi de kaynakta belirtilmiyor.</t>
  </si>
  <si>
    <t>To ve Cc alanlarında dış alıcılar ve bir ek bulunuyor. Ek içeriği veya hassasiyet etiketi verilmediğinden Restricted sınıfı doğrulanamıyor. Gönderimin kurumsal bağlamı belirsiz.</t>
  </si>
  <si>
    <t>To ve Cc alanlarında dış alıcılar ve bir ek görülüyor. Ekin içeriği veya hassasiyet etiketi bulunmadığından Restricted sınıfı doğrulanamıyor. Gönderenin kurumsal bağlamı da belirsiz.</t>
  </si>
  <si>
    <t>Gönderen ve To alıcıları iç alan adında olsa da Cc’de dış alıcı bulunduğundan dış gönderim eşlemesi kurala uygun. Ekin içeriği veya hassasiyet etiketi bulunmadığı için Restricted sınıfı doğrulanamıyor.</t>
  </si>
  <si>
    <t>Dış alıcılara bir ek gönderildiği görülüyor. Ekin içeriği veya hassasiyet etiketi bulunmadığından Restricted sınıfı doğrulanamıyor. Gönderimin kurumsal bağlamı ve yetkilendirme durumu kaynakta belirtilmiyor</t>
  </si>
  <si>
    <t>İç alıcıların yanında dış alıcı da bulunduğundan dış gönderim eşlemesi kurala uygun. Ek içeriği veya hassasiyet etiketi olmadığından Restricted sınıfı doğrulanamıyor. Dış alıcının yetkilendirme durumu da bilinmiyor</t>
  </si>
  <si>
    <t>Cc’de dış alıcı bulunduğundan dış gönderim eşlemesi kurala uygun. Ekin içeriği veya hassasiyet etiketi verilmediği için Restricted sınıfı doğrulanamıyor. Dış alıcıya gönderimin yetkili olup olmadığı da kaynakta belirtilmiyor</t>
  </si>
  <si>
    <t>To ve Cc alanlarında dış alıcılar ve bir ek bulunuyor. Ekin içeriği veya hassasiyet etiketi verilmediğinden Restricted sınıfı doğrulanamıyor. Gönderenin kurumla ilişkisi kaynakta belirtilmiyor.</t>
  </si>
  <si>
    <t>Dış alıcılara iki ek gönderildiği görülüyor. Eklerin içerikleri veya hassasiyet etiketleri bulunmadığından Restricted sınıfı doğrulanamıyor. Gönderenin kurumsal bağlamı da belirsiz</t>
  </si>
  <si>
    <t>Cc’de dış alıcı bulunduğundan dış gönderim eşlemesi kurala uygun. İki ekin içeriği veya hassasiyet etiketi bulunmadığı için Restricted sınıfı doğrulanamıyor. Dış alıcıya gönderimin yetkili olup olmadığı da belirtilmiyor</t>
  </si>
  <si>
    <t>Dış alıcılara bir ek gönderildiği görülüyor. Ekin içeriği veya hassasiyet etiketi bulunmadığından Restricted sınıfı doğrulanamıyor. Gönderenin kurumsal bağlamı da belirsiz.</t>
  </si>
  <si>
    <t>Dropbox alan adına erişim görülüyor; ancak dosya yüklemesi veya aktarılan verinin hassasiyeti doğrulanamıyor. CloudUpload eşlemesi belgelenen vekil kurala uygun. Boyut bilgisi bulunmadığından sıfır değeri atanmış</t>
  </si>
  <si>
    <t>URL, GitHub dokümantasyon sayfasına işaret ediyor. Alan adı eşlemesi adaptör kuralına uygun olsa da kayıt dosya yüklemesini veya Confidential veri aktarımını göstermiyor. Boyut bilgisi de bulunmuyor.</t>
  </si>
  <si>
    <t>MediaFire alan adına erişim görülüyor. Kayıt, yükleme ile indirme veya sayfa görüntülemeyi ayırt etmiyor; Confidential veri aktarımı doğrulanamıyor. Boyut bilgisi bulunmadığından sıfır değeri atanmış.</t>
  </si>
  <si>
    <t>SourceForge alan adına URL erişimi görülüyor. Belgelenen alan adı kuralı uygulanmış olsa da dosya yüklemesi veya Confidential veri aktarımı doğrulanamıyor. Boyut bilgisi bulunmadığından sıfır değeri atanmış.</t>
  </si>
  <si>
    <t>MediaFire alan adına URL erişimi görülüyor. Dosya yüklemesi ve aktarılan verinin hassasiyeti kaynakta doğrulanmıyor. CloudUpload eşlemesi alan adı kuralına dayanıyor; sıfır boyut değeri ise eksik bilgiyi temsil ediyor.</t>
  </si>
  <si>
    <t>MediaFire URL’sine erişim görülüyor; işlemin yükleme, indirme veya sayfa görüntüleme olduğu belirlenemiyor. Confidential sınıfını destekleyen içerik bilgisi yok. Sıfır boyut değeri eksik metadata nedeniyle atanmış</t>
  </si>
  <si>
    <t>MediaFire alan adına erişim kaydı mevcut. İşlemin dosya yüklemesi olduğu ve Confidential veri içerdiği doğrulanamıyor. CloudUpload eşlemesi alan adı kuralına, sıfır boyut değeri ise eksik metadata’ya dayanıyor.</t>
  </si>
  <si>
    <t>MediaFire URL’sine erişim görülüyor. Alan adı eşlemesi kurala uygun olmakla birlikte yükleme işlemi ve Confidential veri aktarımı doğrulanamıyor. Boyut bilgisi bulunmadığından sıfır değeri atanmış.</t>
  </si>
  <si>
    <t>MediaFire URL’sine erişim kaydedilmiş. İşlemin yükleme olduğu veya Confidential veri içerdiği kaynakta gösterilmiyor. Sıfır boyut değeri, ölçülmüş aktarım miktarını değil eksik boyut bilgisini temsil ediyor.</t>
  </si>
  <si>
    <t>MediaFire alan adına erişim görülüyor. Kayıt, dosya yüklemesini veya Confidential veri aktarımını doğrulamıyor. Boyut bilgisi bulunmadığından adaptör sıfır değeri atamış.</t>
  </si>
  <si>
    <t>SourceForge URL’sine erişim kaydedilmiş. Dosya yüklemesi veya Confidential veri aktarımını doğrulayan bilgi bulunmuyor. Sıfır boyut değeri, kaynakta boyut bilgisinin eksik olmasından kaynaklanıyor.</t>
  </si>
  <si>
    <t>MediaFire URL’sine erişim görülüyor. İşlemin yükleme, indirme veya sayfa görüntüleme olduğu belirlenemiyor. Confidential sınıfını destekleyen içerik bilgisi yok; sıfır boyut değeri eksik metadata nedeniyle atanmış.</t>
  </si>
  <si>
    <t>SourceForge URL’sine erişim görülüyor. Kayıt, dosya yüklemesini veya Confidential veri aktarımını göstermiyor. Boyut bilgisi bulunmadığından sıfır değeri atanmış.</t>
  </si>
  <si>
    <t>SourceForge alan adı, belgelenen eşleme kuralıyla eşleşiyor. Kaynak kayıt dosya yüklemesini veya Confidential veri aktarımını doğrulamıyor. Sıfır boyut değeri eksik boyut bilgisini temsil ediyor.</t>
  </si>
  <si>
    <t>SourceForge URL’sine erişim görülüyor. Dosya yüklemesi ve Confidential veri aktarımı doğrulanamıyor. Boyut bilgisi yok.</t>
  </si>
  <si>
    <t>MediaFire alan adı eşlemesi kurala uygun. Kayıt, yükleme ile indirme veya sayfa görüntülemeyi ayırt etmiyor; veri hassasiyeti bilinmiyor.</t>
  </si>
  <si>
    <t>SourceForge erişimi mevcut; yükleme veya hassas içerik aktarımı kanıtı bulunmuyor. Sıfır boyut değeri eksik metadata’yı temsil ediyor.</t>
  </si>
  <si>
    <t>SourceForge üzerindeki URL’ye erişim kaydedilmiş. URL yolu, dosya yüklemesini veya içeriğin hassasiyetini doğrulamıyor. Boyut bilgisi yok.</t>
  </si>
  <si>
    <t>MediaFire URL’sine erişim görülüyor. CloudUpload ve Confidential eşlemelerinin gerçek olay karşılığı kaynakta doğrulanamıyor. Boyut bilgisi eksik.</t>
  </si>
  <si>
    <t>SourceForge URL’sine erişim görülüyor. Dosya yüklemesi veya Confidential veri aktarımı doğrulanamıyor. Boyut bilgisi yok.</t>
  </si>
  <si>
    <t>Alan adı eşlemesi kurala uygun. Kaynak kayıt işlemin yükleme olduğunu göstermiyor; içerik hassasiyeti ve aktarım boyutu bilinmiyor.</t>
  </si>
  <si>
    <t>SourceForge erişimi kaydedilmiş. CloudUpload ve Confidential değerleri metadata tabanlı varsayımlardır; gerçek aktarımı doğrulayan bilgi bulunmuyor.</t>
  </si>
  <si>
    <t>Dropbox URL’sine erişim görülüyor. Dosya yüklemesi, indirme veya sayfa görüntüleme ayrımı yapılamıyor. Veri hassasiyeti ve boyutu bilinmiyor.</t>
  </si>
  <si>
    <t>SourceForge alan adı belgelenen kuralla eşleşiyor. Dosya yüklemesi ve hassas veri aktarımı doğrulanamıyor; sıfır boyut değeri eksik bilgiyi temsil ediyor.</t>
  </si>
  <si>
    <t>SourceForge erişimi alan adı kuralıyla eşleşiyor. Dosya yüklemesi ve Confidential veri aktarımı doğrulanamıyor. Boyut bilgisi yok.</t>
  </si>
  <si>
    <t>Connect eylemi görülüyor. Cihaz türü ve yönetim durumu kaynakta bulunmadığından USB ve Unmanaged eşlemeleri doğrulanamıyor. Veri yazıldığına dair bilgi yok.</t>
  </si>
  <si>
    <t>Bağlantı olayı mevcut; cihazın USB türünde veya yönetilmeyen bir cihaz olduğu doğrulanamıyor. Adaptör belgelenen varsayımları uygulamış.</t>
  </si>
  <si>
    <t>Kaynak kayıt Connect eylemini gösteriyor. Cihaz kimliği, türü ve yönetim durumu eksik; veri aktarımı yapılıp yapılmadığı bilinmiyor.</t>
  </si>
  <si>
    <t>Bağlantı eylemi kurala uygun eşlenmiş. USB, Unmanaged ve Untrusted değerleri kaynakta doğrulanmayan varsayımlar; cihaza veri yazıldığı gösterilmiyor.</t>
  </si>
  <si>
    <t>Connect eylemi mevcut. Cihaz türü ve yönetim durumu bilinmediğinden USB ve Unmanaged eşlemeleri doğrulanamıyor. Veri aktarımı gösterilmiyor.</t>
  </si>
  <si>
    <t>Bağlantı olayı görülüyor. Adaptör belgelenen varsayımları uygulamış; cihazın türü ve yönetim durumu kaynakta belirtilmiyor.</t>
  </si>
  <si>
    <t>Kaynakta Connect eylemi var. USB, Unmanaged ve Untrusted değerlerini doğrulayacak cihaz bilgisi veya yönetim kaydı yok</t>
  </si>
  <si>
    <t>Bağlantı eylemi eşleme kuralına uygun işlenmiş. Cihaz özellikleri ve cihaza veri yazılıp yazılmadığı bilinmiyor.</t>
  </si>
  <si>
    <t>Connect olayı görülüyor; cihazın USB türünde ve yönetilmeyen bir cihaz olduğu doğrulanamıyor. İçerik veya veri aktarımı bilgisi yok.</t>
  </si>
  <si>
    <t>Connect eylemi belgelenen kurala uygun eşlenmiş. Cihaz türü, yönetim durumu ve veri hassasiyeti kaynakta doğrulanamıyor. Cihaza veri yazıldığını gösteren bilgi bulunmuyor.</t>
  </si>
  <si>
    <t>Connect eylemi kurala uygun eşlenmiş. Cihaz türü ve yönetim durumu kaynakta doğrulanamıyor. Cihaza veri yazıldığını gösteren bilgi bulunmuyor.</t>
  </si>
  <si>
    <t>TXT uzantısı dosya türü eşlemesini destekliyor. İçerik veya sınıflandırma etiketi bulunmadığından Internal sınıfı doğrulanamıyor. Boyut bilgisi eksik.</t>
  </si>
  <si>
    <t>TXT uzantısı eşlemeyle uyumlu. Dosya adı ve yolu, içeriğin Internal olduğunu veya cihazın Managed durumunu doğrulamıyor.</t>
  </si>
  <si>
    <t>CSV uzantısı dosya türü eşlemesini destekliyor. İçerik bilinmediğinden Internal sınıfı doğrulanamıyor. Boyut bilgisi yok.</t>
  </si>
  <si>
    <t>TXT türü dosya yoluyla uyumlu. İçeriğin hassasiyeti, hedef güveni ve cihaz yönetim durumu mevcut metadata ile doğrulanamıyor.</t>
  </si>
  <si>
    <t>TXT uzantısı eşlemeyi destekliyor. Dosya içeriği veya etiketi bulunmadığından Internal sınıfı doğrulanamıyor.</t>
  </si>
  <si>
    <t>HTML uzantısının OTHER olarak eşlenmesi modelin tür listesine uygun. İçeriğin hassasiyeti bilinmiyor; boyut bilgisi eksik.</t>
  </si>
  <si>
    <t>Yol bir Apache yapılandırma dosyasını işaret ediyor. OTHER eşlemesi kurala uygun; içerik görülmeden hassasiyet sınıfı doğrulanamıyor.</t>
  </si>
  <si>
    <t>HTML uzantısı model kapsamında OTHER olarak eşlenmiş. Internal sınıfını doğrulayan içerik veya etiket yok; boyut bilgisi eksik.</t>
  </si>
  <si>
    <t>Uzantısız dosyanın OTHER olarak eşlenmesi kurala uygun. Shadow adı dosyanın içeriğini veya hassasiyetini doğrulamıyor.</t>
  </si>
  <si>
    <t>CACHE uzantısının OTHER olarak eşlenmesi kurala uygun. Dosya yolu tek başına Internal sınıfını doğrulamıyor.</t>
  </si>
  <si>
    <t>Backup anahtar kelimesi Confidential eşlemesini açıklıyor; ancak yedek içeriğinin hassasiyeti doğrulanmamış. TAR.GZ türünün OTHER olarak eşlenmesi modele uygun.</t>
  </si>
  <si>
    <t>Confidential sınıfı backup kelimesine dayanıyor; içerik veya etiketle doğrulanamıyor. Boyut bilgisi bulunmuyor.</t>
  </si>
  <si>
    <t>Yedek dosyası adı anahtar kelime kuralıyla eşleşiyor. Dosya içeriği bilinmediğinden Confidential sınıfı doğrulanamıyor.</t>
  </si>
  <si>
    <t>Backup kelimesi nedeniyle yapılan eşleme kurala uygun. Gerçek veri hassasiyeti doğrulanamıyor; boyut bilgisi eksik.</t>
  </si>
  <si>
    <t>Backup anahtar kelimesi Confidential eşlemesini açıklıyor. İçerik veya etiket bulunmadığından gerçek hassasiyet doğrulanamıyor. Boyut bilgisi eksik.</t>
  </si>
  <si>
    <t>TXT uzantısı eşlemeyi destekliyor. Dosya yolu ve içerik bulunmadığından varsayılan Internal sınıfı doğrulanamıyor. Boyut bilgisi yok.</t>
  </si>
  <si>
    <t>PDF uzantısı eşlemeyle uyumlu. Dosya yolu, içerik veya hassasiyet etiketi bulunmadığından Internal sınıfı doğrulanamıyor.</t>
  </si>
  <si>
    <t>DOC uzantısının OTHER olarak eşlenmesi modelin tür listesine uygun. Dosya yolu ve içerik olmadığından varsayılan Internal sınıfı doğrulanamıyor.</t>
  </si>
  <si>
    <t>DOC uzantısının OTHER olarak eşlenmesi modelin tür listesine uygun. Dosya yolu, içerik veya hassasiyet etiketi bulunmadığından varsayılan Internal sınıfı doğrulanamıyor. Boyut bilgisi eksik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</si>
</sst>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name val="Arial"/>
    </font>
    <font>
      <sz val="10"/>
      <name val="Arial"/>
    </font>
    <font>
      <b/>
      <sz val="10"/>
      <name val="Arial"/>
    </font>
    <font>
      <b/>
      <sz val="9"/>
      <color rgb="FFFFFFFF"/>
      <name val="Arial"/>
    </font>
    <font>
      <b/>
      <sz val="9"/>
      <name val="Arial"/>
    </font>
    <font>
      <sz val="9"/>
      <name val="Arial"/>
    </font>
    <font>
      <i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2F4F6F"/>
      </patternFill>
    </fill>
    <fill>
      <patternFill patternType="solid">
        <fgColor rgb="FFEDEDED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6" fillId="0" borderId="1" xfId="0" applyFont="1" applyBorder="1"/>
    <xf numFmtId="0" fontId="5" fillId="0" borderId="1" xfId="0" applyFont="1" applyBorder="1"/>
    <xf numFmtId="0" fontId="7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"/>
  <sheetViews>
    <sheetView workbookViewId="0"/>
  </sheetViews>
  <sheetFormatPr defaultRowHeight="14.4" x14ac:dyDescent="0.3"/>
  <cols>
    <col min="1" max="1" width="120" customWidth="1"/>
  </cols>
  <sheetData>
    <row r="1" spans="1:1" ht="15.6" x14ac:dyDescent="0.3">
      <c r="A1" s="1" t="s">
        <v>0</v>
      </c>
    </row>
    <row r="2" spans="1:1" x14ac:dyDescent="0.3">
      <c r="A2" s="2"/>
    </row>
    <row r="3" spans="1:1" x14ac:dyDescent="0.3">
      <c r="A3" s="2" t="s">
        <v>1</v>
      </c>
    </row>
    <row r="4" spans="1:1" ht="26.4" x14ac:dyDescent="0.3">
      <c r="A4" s="2" t="s">
        <v>2</v>
      </c>
    </row>
    <row r="5" spans="1:1" x14ac:dyDescent="0.3">
      <c r="A5" s="2"/>
    </row>
    <row r="6" spans="1:1" x14ac:dyDescent="0.3">
      <c r="A6" s="3" t="s">
        <v>3</v>
      </c>
    </row>
    <row r="7" spans="1:1" x14ac:dyDescent="0.3">
      <c r="A7" s="2" t="s">
        <v>4</v>
      </c>
    </row>
    <row r="8" spans="1:1" x14ac:dyDescent="0.3">
      <c r="A8" s="2" t="s">
        <v>5</v>
      </c>
    </row>
    <row r="9" spans="1:1" x14ac:dyDescent="0.3">
      <c r="A9" s="2" t="s">
        <v>6</v>
      </c>
    </row>
    <row r="10" spans="1:1" x14ac:dyDescent="0.3">
      <c r="A10" s="2"/>
    </row>
    <row r="11" spans="1:1" x14ac:dyDescent="0.3">
      <c r="A11" s="3" t="s">
        <v>7</v>
      </c>
    </row>
    <row r="12" spans="1:1" x14ac:dyDescent="0.3">
      <c r="A12" s="2" t="s">
        <v>8</v>
      </c>
    </row>
    <row r="13" spans="1:1" x14ac:dyDescent="0.3">
      <c r="A13" s="2" t="s">
        <v>9</v>
      </c>
    </row>
    <row r="14" spans="1:1" x14ac:dyDescent="0.3">
      <c r="A14" s="2" t="s">
        <v>10</v>
      </c>
    </row>
    <row r="15" spans="1:1" x14ac:dyDescent="0.3">
      <c r="A15" s="2" t="s">
        <v>11</v>
      </c>
    </row>
    <row r="16" spans="1:1" x14ac:dyDescent="0.3">
      <c r="A16" s="2"/>
    </row>
    <row r="17" spans="1:1" x14ac:dyDescent="0.3">
      <c r="A17" s="3" t="s">
        <v>12</v>
      </c>
    </row>
    <row r="18" spans="1:1" ht="26.4" x14ac:dyDescent="0.3">
      <c r="A18" s="2" t="s">
        <v>13</v>
      </c>
    </row>
    <row r="19" spans="1:1" ht="26.4" x14ac:dyDescent="0.3">
      <c r="A19" s="2" t="s">
        <v>14</v>
      </c>
    </row>
    <row r="20" spans="1:1" ht="26.4" x14ac:dyDescent="0.3">
      <c r="A20" s="2" t="s">
        <v>15</v>
      </c>
    </row>
    <row r="21" spans="1:1" x14ac:dyDescent="0.3">
      <c r="A21" s="2"/>
    </row>
    <row r="22" spans="1:1" x14ac:dyDescent="0.3">
      <c r="A22" s="3" t="s">
        <v>16</v>
      </c>
    </row>
    <row r="23" spans="1:1" x14ac:dyDescent="0.3">
      <c r="A23" s="2" t="s">
        <v>17</v>
      </c>
    </row>
    <row r="24" spans="1:1" x14ac:dyDescent="0.3">
      <c r="A24" s="2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01"/>
  <sheetViews>
    <sheetView tabSelected="1" zoomScale="120" zoomScaleNormal="120" workbookViewId="0">
      <pane xSplit="2" ySplit="1" topLeftCell="Q96" activePane="bottomRight" state="frozen"/>
      <selection pane="topRight"/>
      <selection pane="bottomLeft"/>
      <selection pane="bottomRight" activeCell="R103" sqref="R103"/>
    </sheetView>
  </sheetViews>
  <sheetFormatPr defaultRowHeight="14.4" x14ac:dyDescent="0.3"/>
  <cols>
    <col min="1" max="1" width="10" customWidth="1"/>
    <col min="2" max="2" width="14" customWidth="1"/>
    <col min="3" max="3" width="28" customWidth="1"/>
    <col min="4" max="4" width="22" customWidth="1"/>
    <col min="5" max="6" width="14" customWidth="1"/>
    <col min="7" max="7" width="48" customWidth="1"/>
    <col min="8" max="8" width="22" customWidth="1"/>
    <col min="9" max="9" width="46" customWidth="1"/>
    <col min="10" max="10" width="24" customWidth="1"/>
    <col min="11" max="11" width="46" customWidth="1"/>
    <col min="12" max="12" width="16" customWidth="1"/>
    <col min="13" max="13" width="12" customWidth="1"/>
    <col min="14" max="15" width="48" customWidth="1"/>
    <col min="16" max="16" width="34" customWidth="1"/>
    <col min="17" max="17" width="38" customWidth="1"/>
    <col min="18" max="18" width="34" customWidth="1"/>
    <col min="19" max="19" width="40" customWidth="1"/>
  </cols>
  <sheetData>
    <row r="1" spans="1:19" ht="42" customHeight="1" x14ac:dyDescent="0.3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  <c r="J1" s="4" t="s">
        <v>28</v>
      </c>
      <c r="K1" s="4" t="s">
        <v>29</v>
      </c>
      <c r="L1" s="4" t="s">
        <v>30</v>
      </c>
      <c r="M1" s="4" t="s">
        <v>31</v>
      </c>
      <c r="N1" s="4" t="s">
        <v>32</v>
      </c>
      <c r="O1" s="4" t="s">
        <v>33</v>
      </c>
      <c r="P1" s="4" t="s">
        <v>34</v>
      </c>
      <c r="Q1" s="4" t="s">
        <v>35</v>
      </c>
      <c r="R1" s="4" t="s">
        <v>36</v>
      </c>
      <c r="S1" s="4" t="s">
        <v>37</v>
      </c>
    </row>
    <row r="2" spans="1:19" ht="68.400000000000006" x14ac:dyDescent="0.3">
      <c r="A2" s="5" t="s">
        <v>38</v>
      </c>
      <c r="B2" s="6" t="s">
        <v>39</v>
      </c>
      <c r="C2" s="6" t="s">
        <v>40</v>
      </c>
      <c r="D2" s="6" t="s">
        <v>41</v>
      </c>
      <c r="E2" s="6" t="s">
        <v>42</v>
      </c>
      <c r="F2" s="6" t="s">
        <v>43</v>
      </c>
      <c r="G2" s="6" t="s">
        <v>44</v>
      </c>
      <c r="H2" s="6" t="s">
        <v>45</v>
      </c>
      <c r="I2" s="6" t="s">
        <v>46</v>
      </c>
      <c r="J2" s="6" t="s">
        <v>47</v>
      </c>
      <c r="K2" s="6" t="s">
        <v>48</v>
      </c>
      <c r="L2" s="7" t="s">
        <v>49</v>
      </c>
      <c r="M2" s="7" t="s">
        <v>50</v>
      </c>
      <c r="N2" s="7" t="s">
        <v>51</v>
      </c>
      <c r="O2" s="7" t="s">
        <v>52</v>
      </c>
      <c r="P2" s="6" t="s">
        <v>53</v>
      </c>
      <c r="Q2" s="6" t="s">
        <v>54</v>
      </c>
      <c r="R2" s="8" t="s">
        <v>506</v>
      </c>
      <c r="S2" s="8" t="s">
        <v>509</v>
      </c>
    </row>
    <row r="3" spans="1:19" ht="79.8" x14ac:dyDescent="0.3">
      <c r="A3" s="5" t="s">
        <v>55</v>
      </c>
      <c r="B3" s="6" t="s">
        <v>39</v>
      </c>
      <c r="C3" s="6" t="s">
        <v>40</v>
      </c>
      <c r="D3" s="6" t="s">
        <v>56</v>
      </c>
      <c r="E3" s="6" t="s">
        <v>57</v>
      </c>
      <c r="F3" s="6" t="s">
        <v>43</v>
      </c>
      <c r="G3" s="6" t="s">
        <v>58</v>
      </c>
      <c r="H3" s="6" t="s">
        <v>59</v>
      </c>
      <c r="I3" s="6" t="s">
        <v>46</v>
      </c>
      <c r="J3" s="6" t="s">
        <v>47</v>
      </c>
      <c r="K3" s="6" t="s">
        <v>48</v>
      </c>
      <c r="L3" s="7" t="s">
        <v>49</v>
      </c>
      <c r="M3" s="7" t="s">
        <v>50</v>
      </c>
      <c r="N3" s="7" t="s">
        <v>51</v>
      </c>
      <c r="O3" s="7" t="s">
        <v>52</v>
      </c>
      <c r="P3" s="6" t="s">
        <v>53</v>
      </c>
      <c r="Q3" s="6" t="s">
        <v>54</v>
      </c>
      <c r="R3" s="8" t="s">
        <v>506</v>
      </c>
      <c r="S3" s="8" t="s">
        <v>510</v>
      </c>
    </row>
    <row r="4" spans="1:19" ht="57" x14ac:dyDescent="0.3">
      <c r="A4" s="5" t="s">
        <v>60</v>
      </c>
      <c r="B4" s="6" t="s">
        <v>39</v>
      </c>
      <c r="C4" s="6" t="s">
        <v>40</v>
      </c>
      <c r="D4" s="6" t="s">
        <v>61</v>
      </c>
      <c r="E4" s="6" t="s">
        <v>62</v>
      </c>
      <c r="F4" s="6" t="s">
        <v>43</v>
      </c>
      <c r="G4" s="6" t="s">
        <v>63</v>
      </c>
      <c r="H4" s="6" t="s">
        <v>64</v>
      </c>
      <c r="I4" s="6" t="s">
        <v>46</v>
      </c>
      <c r="J4" s="6" t="s">
        <v>47</v>
      </c>
      <c r="K4" s="6" t="s">
        <v>48</v>
      </c>
      <c r="L4" s="7" t="s">
        <v>49</v>
      </c>
      <c r="M4" s="7" t="s">
        <v>50</v>
      </c>
      <c r="N4" s="7" t="s">
        <v>51</v>
      </c>
      <c r="O4" s="7" t="s">
        <v>52</v>
      </c>
      <c r="P4" s="6" t="s">
        <v>53</v>
      </c>
      <c r="Q4" s="6" t="s">
        <v>54</v>
      </c>
      <c r="R4" s="8" t="s">
        <v>506</v>
      </c>
      <c r="S4" s="8" t="s">
        <v>511</v>
      </c>
    </row>
    <row r="5" spans="1:19" ht="45.6" x14ac:dyDescent="0.3">
      <c r="A5" s="5" t="s">
        <v>65</v>
      </c>
      <c r="B5" s="6" t="s">
        <v>39</v>
      </c>
      <c r="C5" s="6" t="s">
        <v>40</v>
      </c>
      <c r="D5" s="6" t="s">
        <v>66</v>
      </c>
      <c r="E5" s="6" t="s">
        <v>67</v>
      </c>
      <c r="F5" s="6" t="s">
        <v>43</v>
      </c>
      <c r="G5" s="6" t="s">
        <v>68</v>
      </c>
      <c r="H5" s="6" t="s">
        <v>69</v>
      </c>
      <c r="I5" s="6" t="s">
        <v>46</v>
      </c>
      <c r="J5" s="6" t="s">
        <v>47</v>
      </c>
      <c r="K5" s="6" t="s">
        <v>48</v>
      </c>
      <c r="L5" s="7" t="s">
        <v>49</v>
      </c>
      <c r="M5" s="7" t="s">
        <v>50</v>
      </c>
      <c r="N5" s="7" t="s">
        <v>51</v>
      </c>
      <c r="O5" s="7" t="s">
        <v>52</v>
      </c>
      <c r="P5" s="6" t="s">
        <v>53</v>
      </c>
      <c r="Q5" s="6" t="s">
        <v>54</v>
      </c>
      <c r="R5" s="8" t="s">
        <v>506</v>
      </c>
      <c r="S5" s="8" t="s">
        <v>512</v>
      </c>
    </row>
    <row r="6" spans="1:19" ht="91.2" x14ac:dyDescent="0.3">
      <c r="A6" s="5" t="s">
        <v>70</v>
      </c>
      <c r="B6" s="6" t="s">
        <v>39</v>
      </c>
      <c r="C6" s="6" t="s">
        <v>40</v>
      </c>
      <c r="D6" s="6" t="s">
        <v>71</v>
      </c>
      <c r="E6" s="6" t="s">
        <v>72</v>
      </c>
      <c r="F6" s="6" t="s">
        <v>43</v>
      </c>
      <c r="G6" s="6" t="s">
        <v>73</v>
      </c>
      <c r="H6" s="6" t="s">
        <v>74</v>
      </c>
      <c r="I6" s="6" t="s">
        <v>46</v>
      </c>
      <c r="J6" s="6" t="s">
        <v>47</v>
      </c>
      <c r="K6" s="6" t="s">
        <v>48</v>
      </c>
      <c r="L6" s="7" t="s">
        <v>49</v>
      </c>
      <c r="M6" s="7" t="s">
        <v>50</v>
      </c>
      <c r="N6" s="7" t="s">
        <v>51</v>
      </c>
      <c r="O6" s="7" t="s">
        <v>52</v>
      </c>
      <c r="P6" s="6" t="s">
        <v>53</v>
      </c>
      <c r="Q6" s="6" t="s">
        <v>54</v>
      </c>
      <c r="R6" s="8" t="s">
        <v>506</v>
      </c>
      <c r="S6" s="8" t="s">
        <v>513</v>
      </c>
    </row>
    <row r="7" spans="1:19" ht="57" x14ac:dyDescent="0.3">
      <c r="A7" s="5" t="s">
        <v>75</v>
      </c>
      <c r="B7" s="6" t="s">
        <v>39</v>
      </c>
      <c r="C7" s="6" t="s">
        <v>40</v>
      </c>
      <c r="D7" s="6" t="s">
        <v>76</v>
      </c>
      <c r="E7" s="6" t="s">
        <v>77</v>
      </c>
      <c r="F7" s="6" t="s">
        <v>43</v>
      </c>
      <c r="G7" s="6" t="s">
        <v>78</v>
      </c>
      <c r="H7" s="6" t="s">
        <v>79</v>
      </c>
      <c r="I7" s="6" t="s">
        <v>46</v>
      </c>
      <c r="J7" s="6" t="s">
        <v>47</v>
      </c>
      <c r="K7" s="6" t="s">
        <v>48</v>
      </c>
      <c r="L7" s="7" t="s">
        <v>49</v>
      </c>
      <c r="M7" s="7" t="s">
        <v>50</v>
      </c>
      <c r="N7" s="7" t="s">
        <v>51</v>
      </c>
      <c r="O7" s="7" t="s">
        <v>52</v>
      </c>
      <c r="P7" s="6" t="s">
        <v>53</v>
      </c>
      <c r="Q7" s="6" t="s">
        <v>54</v>
      </c>
      <c r="R7" s="8" t="s">
        <v>506</v>
      </c>
      <c r="S7" s="8" t="s">
        <v>514</v>
      </c>
    </row>
    <row r="8" spans="1:19" ht="79.8" x14ac:dyDescent="0.3">
      <c r="A8" s="5" t="s">
        <v>80</v>
      </c>
      <c r="B8" s="6" t="s">
        <v>39</v>
      </c>
      <c r="C8" s="6" t="s">
        <v>40</v>
      </c>
      <c r="D8" s="6" t="s">
        <v>81</v>
      </c>
      <c r="E8" s="6" t="s">
        <v>82</v>
      </c>
      <c r="F8" s="6" t="s">
        <v>43</v>
      </c>
      <c r="G8" s="6" t="s">
        <v>83</v>
      </c>
      <c r="H8" s="6" t="s">
        <v>84</v>
      </c>
      <c r="I8" s="6" t="s">
        <v>46</v>
      </c>
      <c r="J8" s="6" t="s">
        <v>47</v>
      </c>
      <c r="K8" s="6" t="s">
        <v>48</v>
      </c>
      <c r="L8" s="7" t="s">
        <v>49</v>
      </c>
      <c r="M8" s="7" t="s">
        <v>50</v>
      </c>
      <c r="N8" s="7" t="s">
        <v>51</v>
      </c>
      <c r="O8" s="7" t="s">
        <v>52</v>
      </c>
      <c r="P8" s="6" t="s">
        <v>53</v>
      </c>
      <c r="Q8" s="6" t="s">
        <v>54</v>
      </c>
      <c r="R8" s="8" t="s">
        <v>506</v>
      </c>
      <c r="S8" s="8" t="s">
        <v>515</v>
      </c>
    </row>
    <row r="9" spans="1:19" ht="79.8" x14ac:dyDescent="0.3">
      <c r="A9" s="5" t="s">
        <v>85</v>
      </c>
      <c r="B9" s="6" t="s">
        <v>39</v>
      </c>
      <c r="C9" s="6" t="s">
        <v>40</v>
      </c>
      <c r="D9" s="6" t="s">
        <v>86</v>
      </c>
      <c r="E9" s="6" t="s">
        <v>87</v>
      </c>
      <c r="F9" s="6" t="s">
        <v>43</v>
      </c>
      <c r="G9" s="6" t="s">
        <v>88</v>
      </c>
      <c r="H9" s="6" t="s">
        <v>89</v>
      </c>
      <c r="I9" s="6" t="s">
        <v>46</v>
      </c>
      <c r="J9" s="6" t="s">
        <v>47</v>
      </c>
      <c r="K9" s="6" t="s">
        <v>48</v>
      </c>
      <c r="L9" s="7" t="s">
        <v>49</v>
      </c>
      <c r="M9" s="7" t="s">
        <v>50</v>
      </c>
      <c r="N9" s="7" t="s">
        <v>51</v>
      </c>
      <c r="O9" s="7" t="s">
        <v>52</v>
      </c>
      <c r="P9" s="6" t="s">
        <v>53</v>
      </c>
      <c r="Q9" s="6" t="s">
        <v>54</v>
      </c>
      <c r="R9" s="8" t="s">
        <v>506</v>
      </c>
      <c r="S9" s="8" t="s">
        <v>516</v>
      </c>
    </row>
    <row r="10" spans="1:19" ht="45.6" x14ac:dyDescent="0.3">
      <c r="A10" s="5" t="s">
        <v>90</v>
      </c>
      <c r="B10" s="6" t="s">
        <v>39</v>
      </c>
      <c r="C10" s="6" t="s">
        <v>40</v>
      </c>
      <c r="D10" s="6" t="s">
        <v>91</v>
      </c>
      <c r="E10" s="6" t="s">
        <v>92</v>
      </c>
      <c r="F10" s="6" t="s">
        <v>43</v>
      </c>
      <c r="G10" s="6" t="s">
        <v>93</v>
      </c>
      <c r="H10" s="6" t="s">
        <v>94</v>
      </c>
      <c r="I10" s="6" t="s">
        <v>46</v>
      </c>
      <c r="J10" s="6" t="s">
        <v>47</v>
      </c>
      <c r="K10" s="6" t="s">
        <v>48</v>
      </c>
      <c r="L10" s="7" t="s">
        <v>49</v>
      </c>
      <c r="M10" s="7" t="s">
        <v>50</v>
      </c>
      <c r="N10" s="7" t="s">
        <v>51</v>
      </c>
      <c r="O10" s="7" t="s">
        <v>52</v>
      </c>
      <c r="P10" s="6" t="s">
        <v>53</v>
      </c>
      <c r="Q10" s="6" t="s">
        <v>54</v>
      </c>
      <c r="R10" s="8" t="s">
        <v>506</v>
      </c>
      <c r="S10" s="8" t="s">
        <v>517</v>
      </c>
    </row>
    <row r="11" spans="1:19" ht="57" x14ac:dyDescent="0.3">
      <c r="A11" s="5" t="s">
        <v>95</v>
      </c>
      <c r="B11" s="6" t="s">
        <v>39</v>
      </c>
      <c r="C11" s="6" t="s">
        <v>40</v>
      </c>
      <c r="D11" s="6" t="s">
        <v>96</v>
      </c>
      <c r="E11" s="6" t="s">
        <v>97</v>
      </c>
      <c r="F11" s="6" t="s">
        <v>43</v>
      </c>
      <c r="G11" s="6" t="s">
        <v>98</v>
      </c>
      <c r="H11" s="6" t="s">
        <v>99</v>
      </c>
      <c r="I11" s="6" t="s">
        <v>46</v>
      </c>
      <c r="J11" s="6" t="s">
        <v>47</v>
      </c>
      <c r="K11" s="6" t="s">
        <v>48</v>
      </c>
      <c r="L11" s="7" t="s">
        <v>49</v>
      </c>
      <c r="M11" s="7" t="s">
        <v>100</v>
      </c>
      <c r="N11" s="7" t="s">
        <v>101</v>
      </c>
      <c r="O11" s="7" t="s">
        <v>102</v>
      </c>
      <c r="P11" s="6" t="s">
        <v>53</v>
      </c>
      <c r="Q11" s="6" t="s">
        <v>54</v>
      </c>
      <c r="R11" s="8" t="s">
        <v>506</v>
      </c>
      <c r="S11" s="8" t="s">
        <v>518</v>
      </c>
    </row>
    <row r="12" spans="1:19" ht="57" x14ac:dyDescent="0.3">
      <c r="A12" s="5" t="s">
        <v>103</v>
      </c>
      <c r="B12" s="6" t="s">
        <v>39</v>
      </c>
      <c r="C12" s="6" t="s">
        <v>40</v>
      </c>
      <c r="D12" s="6" t="s">
        <v>104</v>
      </c>
      <c r="E12" s="6" t="s">
        <v>105</v>
      </c>
      <c r="F12" s="6" t="s">
        <v>43</v>
      </c>
      <c r="G12" s="6" t="s">
        <v>106</v>
      </c>
      <c r="H12" s="6" t="s">
        <v>107</v>
      </c>
      <c r="I12" s="6" t="s">
        <v>46</v>
      </c>
      <c r="J12" s="6" t="s">
        <v>47</v>
      </c>
      <c r="K12" s="6" t="s">
        <v>48</v>
      </c>
      <c r="L12" s="7" t="s">
        <v>49</v>
      </c>
      <c r="M12" s="7" t="s">
        <v>50</v>
      </c>
      <c r="N12" s="7" t="s">
        <v>51</v>
      </c>
      <c r="O12" s="7" t="s">
        <v>52</v>
      </c>
      <c r="P12" s="6" t="s">
        <v>53</v>
      </c>
      <c r="Q12" s="6" t="s">
        <v>54</v>
      </c>
      <c r="R12" s="8" t="s">
        <v>506</v>
      </c>
      <c r="S12" s="8" t="s">
        <v>519</v>
      </c>
    </row>
    <row r="13" spans="1:19" ht="68.400000000000006" x14ac:dyDescent="0.3">
      <c r="A13" s="5" t="s">
        <v>108</v>
      </c>
      <c r="B13" s="6" t="s">
        <v>39</v>
      </c>
      <c r="C13" s="6" t="s">
        <v>40</v>
      </c>
      <c r="D13" s="6" t="s">
        <v>109</v>
      </c>
      <c r="E13" s="6" t="s">
        <v>110</v>
      </c>
      <c r="F13" s="6" t="s">
        <v>43</v>
      </c>
      <c r="G13" s="6" t="s">
        <v>111</v>
      </c>
      <c r="H13" s="6" t="s">
        <v>112</v>
      </c>
      <c r="I13" s="6" t="s">
        <v>46</v>
      </c>
      <c r="J13" s="6" t="s">
        <v>47</v>
      </c>
      <c r="K13" s="6" t="s">
        <v>48</v>
      </c>
      <c r="L13" s="7" t="s">
        <v>49</v>
      </c>
      <c r="M13" s="7" t="s">
        <v>100</v>
      </c>
      <c r="N13" s="7" t="s">
        <v>101</v>
      </c>
      <c r="O13" s="7" t="s">
        <v>102</v>
      </c>
      <c r="P13" s="6" t="s">
        <v>53</v>
      </c>
      <c r="Q13" s="6" t="s">
        <v>54</v>
      </c>
      <c r="R13" s="8" t="s">
        <v>506</v>
      </c>
      <c r="S13" s="8" t="s">
        <v>520</v>
      </c>
    </row>
    <row r="14" spans="1:19" ht="45.6" x14ac:dyDescent="0.3">
      <c r="A14" s="5" t="s">
        <v>113</v>
      </c>
      <c r="B14" s="6" t="s">
        <v>39</v>
      </c>
      <c r="C14" s="6" t="s">
        <v>40</v>
      </c>
      <c r="D14" s="6" t="s">
        <v>114</v>
      </c>
      <c r="E14" s="6" t="s">
        <v>115</v>
      </c>
      <c r="F14" s="6" t="s">
        <v>43</v>
      </c>
      <c r="G14" s="6" t="s">
        <v>116</v>
      </c>
      <c r="H14" s="6" t="s">
        <v>117</v>
      </c>
      <c r="I14" s="6" t="s">
        <v>46</v>
      </c>
      <c r="J14" s="6" t="s">
        <v>47</v>
      </c>
      <c r="K14" s="6" t="s">
        <v>48</v>
      </c>
      <c r="L14" s="7" t="s">
        <v>49</v>
      </c>
      <c r="M14" s="7" t="s">
        <v>50</v>
      </c>
      <c r="N14" s="7" t="s">
        <v>51</v>
      </c>
      <c r="O14" s="7" t="s">
        <v>52</v>
      </c>
      <c r="P14" s="6" t="s">
        <v>53</v>
      </c>
      <c r="Q14" s="6" t="s">
        <v>54</v>
      </c>
      <c r="R14" s="8" t="s">
        <v>506</v>
      </c>
      <c r="S14" s="8" t="s">
        <v>521</v>
      </c>
    </row>
    <row r="15" spans="1:19" ht="68.400000000000006" x14ac:dyDescent="0.3">
      <c r="A15" s="5" t="s">
        <v>118</v>
      </c>
      <c r="B15" s="6" t="s">
        <v>39</v>
      </c>
      <c r="C15" s="6" t="s">
        <v>40</v>
      </c>
      <c r="D15" s="6" t="s">
        <v>119</v>
      </c>
      <c r="E15" s="6" t="s">
        <v>120</v>
      </c>
      <c r="F15" s="6" t="s">
        <v>43</v>
      </c>
      <c r="G15" s="6" t="s">
        <v>121</v>
      </c>
      <c r="H15" s="6" t="s">
        <v>122</v>
      </c>
      <c r="I15" s="6" t="s">
        <v>46</v>
      </c>
      <c r="J15" s="6" t="s">
        <v>47</v>
      </c>
      <c r="K15" s="6" t="s">
        <v>48</v>
      </c>
      <c r="L15" s="7" t="s">
        <v>49</v>
      </c>
      <c r="M15" s="7" t="s">
        <v>50</v>
      </c>
      <c r="N15" s="7" t="s">
        <v>51</v>
      </c>
      <c r="O15" s="7" t="s">
        <v>52</v>
      </c>
      <c r="P15" s="6" t="s">
        <v>53</v>
      </c>
      <c r="Q15" s="6" t="s">
        <v>54</v>
      </c>
      <c r="R15" s="8" t="s">
        <v>506</v>
      </c>
      <c r="S15" s="8" t="s">
        <v>522</v>
      </c>
    </row>
    <row r="16" spans="1:19" ht="57" x14ac:dyDescent="0.3">
      <c r="A16" s="5" t="s">
        <v>123</v>
      </c>
      <c r="B16" s="6" t="s">
        <v>39</v>
      </c>
      <c r="C16" s="6" t="s">
        <v>40</v>
      </c>
      <c r="D16" s="6" t="s">
        <v>124</v>
      </c>
      <c r="E16" s="6" t="s">
        <v>125</v>
      </c>
      <c r="F16" s="6" t="s">
        <v>43</v>
      </c>
      <c r="G16" s="6" t="s">
        <v>126</v>
      </c>
      <c r="H16" s="6" t="s">
        <v>127</v>
      </c>
      <c r="I16" s="6" t="s">
        <v>46</v>
      </c>
      <c r="J16" s="6" t="s">
        <v>47</v>
      </c>
      <c r="K16" s="6" t="s">
        <v>48</v>
      </c>
      <c r="L16" s="7" t="s">
        <v>49</v>
      </c>
      <c r="M16" s="7" t="s">
        <v>50</v>
      </c>
      <c r="N16" s="7" t="s">
        <v>51</v>
      </c>
      <c r="O16" s="7" t="s">
        <v>52</v>
      </c>
      <c r="P16" s="6" t="s">
        <v>53</v>
      </c>
      <c r="Q16" s="6" t="s">
        <v>54</v>
      </c>
      <c r="R16" s="8" t="s">
        <v>506</v>
      </c>
      <c r="S16" s="8" t="s">
        <v>523</v>
      </c>
    </row>
    <row r="17" spans="1:19" ht="68.400000000000006" x14ac:dyDescent="0.3">
      <c r="A17" s="5" t="s">
        <v>128</v>
      </c>
      <c r="B17" s="6" t="s">
        <v>39</v>
      </c>
      <c r="C17" s="6" t="s">
        <v>40</v>
      </c>
      <c r="D17" s="6" t="s">
        <v>129</v>
      </c>
      <c r="E17" s="6" t="s">
        <v>130</v>
      </c>
      <c r="F17" s="6" t="s">
        <v>43</v>
      </c>
      <c r="G17" s="6" t="s">
        <v>131</v>
      </c>
      <c r="H17" s="6" t="s">
        <v>132</v>
      </c>
      <c r="I17" s="6" t="s">
        <v>46</v>
      </c>
      <c r="J17" s="6" t="s">
        <v>47</v>
      </c>
      <c r="K17" s="6" t="s">
        <v>48</v>
      </c>
      <c r="L17" s="7" t="s">
        <v>49</v>
      </c>
      <c r="M17" s="7" t="s">
        <v>50</v>
      </c>
      <c r="N17" s="7" t="s">
        <v>51</v>
      </c>
      <c r="O17" s="7" t="s">
        <v>52</v>
      </c>
      <c r="P17" s="6" t="s">
        <v>53</v>
      </c>
      <c r="Q17" s="6" t="s">
        <v>54</v>
      </c>
      <c r="R17" s="8" t="s">
        <v>506</v>
      </c>
      <c r="S17" s="8" t="s">
        <v>524</v>
      </c>
    </row>
    <row r="18" spans="1:19" ht="91.2" x14ac:dyDescent="0.3">
      <c r="A18" s="5" t="s">
        <v>133</v>
      </c>
      <c r="B18" s="6" t="s">
        <v>39</v>
      </c>
      <c r="C18" s="6" t="s">
        <v>40</v>
      </c>
      <c r="D18" s="6" t="s">
        <v>134</v>
      </c>
      <c r="E18" s="6" t="s">
        <v>135</v>
      </c>
      <c r="F18" s="6" t="s">
        <v>43</v>
      </c>
      <c r="G18" s="6" t="s">
        <v>136</v>
      </c>
      <c r="H18" s="6" t="s">
        <v>137</v>
      </c>
      <c r="I18" s="6" t="s">
        <v>46</v>
      </c>
      <c r="J18" s="6" t="s">
        <v>47</v>
      </c>
      <c r="K18" s="6" t="s">
        <v>48</v>
      </c>
      <c r="L18" s="7" t="s">
        <v>49</v>
      </c>
      <c r="M18" s="7" t="s">
        <v>50</v>
      </c>
      <c r="N18" s="7" t="s">
        <v>51</v>
      </c>
      <c r="O18" s="7" t="s">
        <v>52</v>
      </c>
      <c r="P18" s="6" t="s">
        <v>53</v>
      </c>
      <c r="Q18" s="6" t="s">
        <v>54</v>
      </c>
      <c r="R18" s="8" t="s">
        <v>506</v>
      </c>
      <c r="S18" s="8" t="s">
        <v>525</v>
      </c>
    </row>
    <row r="19" spans="1:19" ht="79.8" x14ac:dyDescent="0.3">
      <c r="A19" s="5" t="s">
        <v>138</v>
      </c>
      <c r="B19" s="6" t="s">
        <v>39</v>
      </c>
      <c r="C19" s="6" t="s">
        <v>40</v>
      </c>
      <c r="D19" s="6" t="s">
        <v>139</v>
      </c>
      <c r="E19" s="6" t="s">
        <v>140</v>
      </c>
      <c r="F19" s="6" t="s">
        <v>43</v>
      </c>
      <c r="G19" s="6" t="s">
        <v>141</v>
      </c>
      <c r="H19" s="6" t="s">
        <v>142</v>
      </c>
      <c r="I19" s="6" t="s">
        <v>46</v>
      </c>
      <c r="J19" s="6" t="s">
        <v>47</v>
      </c>
      <c r="K19" s="6" t="s">
        <v>48</v>
      </c>
      <c r="L19" s="7" t="s">
        <v>49</v>
      </c>
      <c r="M19" s="7" t="s">
        <v>100</v>
      </c>
      <c r="N19" s="7" t="s">
        <v>101</v>
      </c>
      <c r="O19" s="7" t="s">
        <v>102</v>
      </c>
      <c r="P19" s="6" t="s">
        <v>53</v>
      </c>
      <c r="Q19" s="6" t="s">
        <v>54</v>
      </c>
      <c r="R19" s="8" t="s">
        <v>506</v>
      </c>
      <c r="S19" s="8" t="s">
        <v>526</v>
      </c>
    </row>
    <row r="20" spans="1:19" ht="91.2" x14ac:dyDescent="0.3">
      <c r="A20" s="5" t="s">
        <v>143</v>
      </c>
      <c r="B20" s="6" t="s">
        <v>39</v>
      </c>
      <c r="C20" s="6" t="s">
        <v>40</v>
      </c>
      <c r="D20" s="6" t="s">
        <v>144</v>
      </c>
      <c r="E20" s="6" t="s">
        <v>145</v>
      </c>
      <c r="F20" s="6" t="s">
        <v>43</v>
      </c>
      <c r="G20" s="6" t="s">
        <v>146</v>
      </c>
      <c r="H20" s="6" t="s">
        <v>147</v>
      </c>
      <c r="I20" s="6" t="s">
        <v>46</v>
      </c>
      <c r="J20" s="6" t="s">
        <v>47</v>
      </c>
      <c r="K20" s="6" t="s">
        <v>48</v>
      </c>
      <c r="L20" s="7" t="s">
        <v>49</v>
      </c>
      <c r="M20" s="7" t="s">
        <v>50</v>
      </c>
      <c r="N20" s="7" t="s">
        <v>51</v>
      </c>
      <c r="O20" s="7" t="s">
        <v>52</v>
      </c>
      <c r="P20" s="6" t="s">
        <v>53</v>
      </c>
      <c r="Q20" s="6" t="s">
        <v>54</v>
      </c>
      <c r="R20" s="8" t="s">
        <v>506</v>
      </c>
      <c r="S20" s="8" t="s">
        <v>527</v>
      </c>
    </row>
    <row r="21" spans="1:19" ht="79.8" x14ac:dyDescent="0.3">
      <c r="A21" s="5" t="s">
        <v>148</v>
      </c>
      <c r="B21" s="6" t="s">
        <v>39</v>
      </c>
      <c r="C21" s="6" t="s">
        <v>40</v>
      </c>
      <c r="D21" s="6" t="s">
        <v>149</v>
      </c>
      <c r="E21" s="6" t="s">
        <v>150</v>
      </c>
      <c r="F21" s="6" t="s">
        <v>43</v>
      </c>
      <c r="G21" s="6" t="s">
        <v>151</v>
      </c>
      <c r="H21" s="6" t="s">
        <v>152</v>
      </c>
      <c r="I21" s="6" t="s">
        <v>46</v>
      </c>
      <c r="J21" s="6" t="s">
        <v>47</v>
      </c>
      <c r="K21" s="6" t="s">
        <v>48</v>
      </c>
      <c r="L21" s="7" t="s">
        <v>49</v>
      </c>
      <c r="M21" s="7" t="s">
        <v>100</v>
      </c>
      <c r="N21" s="7" t="s">
        <v>101</v>
      </c>
      <c r="O21" s="7" t="s">
        <v>102</v>
      </c>
      <c r="P21" s="6" t="s">
        <v>53</v>
      </c>
      <c r="Q21" s="6" t="s">
        <v>54</v>
      </c>
      <c r="R21" s="8" t="s">
        <v>506</v>
      </c>
      <c r="S21" s="8" t="s">
        <v>528</v>
      </c>
    </row>
    <row r="22" spans="1:19" ht="79.8" x14ac:dyDescent="0.3">
      <c r="A22" s="5" t="s">
        <v>153</v>
      </c>
      <c r="B22" s="6" t="s">
        <v>39</v>
      </c>
      <c r="C22" s="6" t="s">
        <v>40</v>
      </c>
      <c r="D22" s="6" t="s">
        <v>154</v>
      </c>
      <c r="E22" s="6" t="s">
        <v>155</v>
      </c>
      <c r="F22" s="6" t="s">
        <v>43</v>
      </c>
      <c r="G22" s="6" t="s">
        <v>156</v>
      </c>
      <c r="H22" s="6" t="s">
        <v>157</v>
      </c>
      <c r="I22" s="6" t="s">
        <v>46</v>
      </c>
      <c r="J22" s="6" t="s">
        <v>47</v>
      </c>
      <c r="K22" s="6" t="s">
        <v>48</v>
      </c>
      <c r="L22" s="7" t="s">
        <v>49</v>
      </c>
      <c r="M22" s="7" t="s">
        <v>100</v>
      </c>
      <c r="N22" s="7" t="s">
        <v>101</v>
      </c>
      <c r="O22" s="7" t="s">
        <v>102</v>
      </c>
      <c r="P22" s="6" t="s">
        <v>53</v>
      </c>
      <c r="Q22" s="6" t="s">
        <v>54</v>
      </c>
      <c r="R22" s="8" t="s">
        <v>506</v>
      </c>
      <c r="S22" s="8" t="s">
        <v>529</v>
      </c>
    </row>
    <row r="23" spans="1:19" ht="57" x14ac:dyDescent="0.3">
      <c r="A23" s="5" t="s">
        <v>158</v>
      </c>
      <c r="B23" s="6" t="s">
        <v>39</v>
      </c>
      <c r="C23" s="6" t="s">
        <v>40</v>
      </c>
      <c r="D23" s="6" t="s">
        <v>159</v>
      </c>
      <c r="E23" s="6" t="s">
        <v>160</v>
      </c>
      <c r="F23" s="6" t="s">
        <v>43</v>
      </c>
      <c r="G23" s="6" t="s">
        <v>161</v>
      </c>
      <c r="H23" s="6" t="s">
        <v>162</v>
      </c>
      <c r="I23" s="6" t="s">
        <v>46</v>
      </c>
      <c r="J23" s="6" t="s">
        <v>47</v>
      </c>
      <c r="K23" s="6" t="s">
        <v>48</v>
      </c>
      <c r="L23" s="7" t="s">
        <v>49</v>
      </c>
      <c r="M23" s="7" t="s">
        <v>50</v>
      </c>
      <c r="N23" s="7" t="s">
        <v>51</v>
      </c>
      <c r="O23" s="7" t="s">
        <v>52</v>
      </c>
      <c r="P23" s="6" t="s">
        <v>53</v>
      </c>
      <c r="Q23" s="6" t="s">
        <v>54</v>
      </c>
      <c r="R23" s="8" t="s">
        <v>506</v>
      </c>
      <c r="S23" s="8" t="s">
        <v>530</v>
      </c>
    </row>
    <row r="24" spans="1:19" ht="79.8" x14ac:dyDescent="0.3">
      <c r="A24" s="5" t="s">
        <v>163</v>
      </c>
      <c r="B24" s="6" t="s">
        <v>39</v>
      </c>
      <c r="C24" s="6" t="s">
        <v>40</v>
      </c>
      <c r="D24" s="6" t="s">
        <v>164</v>
      </c>
      <c r="E24" s="6" t="s">
        <v>165</v>
      </c>
      <c r="F24" s="6" t="s">
        <v>43</v>
      </c>
      <c r="G24" s="6" t="s">
        <v>166</v>
      </c>
      <c r="H24" s="6" t="s">
        <v>167</v>
      </c>
      <c r="I24" s="6" t="s">
        <v>46</v>
      </c>
      <c r="J24" s="6" t="s">
        <v>47</v>
      </c>
      <c r="K24" s="6" t="s">
        <v>48</v>
      </c>
      <c r="L24" s="7" t="s">
        <v>49</v>
      </c>
      <c r="M24" s="7" t="s">
        <v>50</v>
      </c>
      <c r="N24" s="7" t="s">
        <v>51</v>
      </c>
      <c r="O24" s="7" t="s">
        <v>52</v>
      </c>
      <c r="P24" s="6" t="s">
        <v>53</v>
      </c>
      <c r="Q24" s="6" t="s">
        <v>54</v>
      </c>
      <c r="R24" s="8" t="s">
        <v>506</v>
      </c>
      <c r="S24" s="8" t="s">
        <v>531</v>
      </c>
    </row>
    <row r="25" spans="1:19" ht="57" x14ac:dyDescent="0.3">
      <c r="A25" s="5" t="s">
        <v>168</v>
      </c>
      <c r="B25" s="6" t="s">
        <v>39</v>
      </c>
      <c r="C25" s="6" t="s">
        <v>40</v>
      </c>
      <c r="D25" s="6" t="s">
        <v>169</v>
      </c>
      <c r="E25" s="6" t="s">
        <v>170</v>
      </c>
      <c r="F25" s="6" t="s">
        <v>43</v>
      </c>
      <c r="G25" s="6" t="s">
        <v>171</v>
      </c>
      <c r="H25" s="6" t="s">
        <v>172</v>
      </c>
      <c r="I25" s="6" t="s">
        <v>46</v>
      </c>
      <c r="J25" s="6" t="s">
        <v>47</v>
      </c>
      <c r="K25" s="6" t="s">
        <v>48</v>
      </c>
      <c r="L25" s="7" t="s">
        <v>49</v>
      </c>
      <c r="M25" s="7" t="s">
        <v>100</v>
      </c>
      <c r="N25" s="7" t="s">
        <v>101</v>
      </c>
      <c r="O25" s="7" t="s">
        <v>102</v>
      </c>
      <c r="P25" s="6" t="s">
        <v>53</v>
      </c>
      <c r="Q25" s="6" t="s">
        <v>54</v>
      </c>
      <c r="R25" s="8" t="s">
        <v>506</v>
      </c>
      <c r="S25" s="8" t="s">
        <v>532</v>
      </c>
    </row>
    <row r="26" spans="1:19" ht="68.400000000000006" x14ac:dyDescent="0.3">
      <c r="A26" s="5" t="s">
        <v>173</v>
      </c>
      <c r="B26" s="6" t="s">
        <v>39</v>
      </c>
      <c r="C26" s="6" t="s">
        <v>40</v>
      </c>
      <c r="D26" s="6" t="s">
        <v>174</v>
      </c>
      <c r="E26" s="6" t="s">
        <v>175</v>
      </c>
      <c r="F26" s="6" t="s">
        <v>43</v>
      </c>
      <c r="G26" s="6" t="s">
        <v>176</v>
      </c>
      <c r="H26" s="6" t="s">
        <v>177</v>
      </c>
      <c r="I26" s="6" t="s">
        <v>46</v>
      </c>
      <c r="J26" s="6" t="s">
        <v>47</v>
      </c>
      <c r="K26" s="6" t="s">
        <v>48</v>
      </c>
      <c r="L26" s="7" t="s">
        <v>49</v>
      </c>
      <c r="M26" s="7" t="s">
        <v>50</v>
      </c>
      <c r="N26" s="7" t="s">
        <v>51</v>
      </c>
      <c r="O26" s="7" t="s">
        <v>52</v>
      </c>
      <c r="P26" s="6" t="s">
        <v>53</v>
      </c>
      <c r="Q26" s="6" t="s">
        <v>54</v>
      </c>
      <c r="R26" s="8" t="s">
        <v>506</v>
      </c>
      <c r="S26" s="8" t="s">
        <v>533</v>
      </c>
    </row>
    <row r="27" spans="1:19" ht="57" x14ac:dyDescent="0.3">
      <c r="A27" s="5" t="s">
        <v>178</v>
      </c>
      <c r="B27" s="6" t="s">
        <v>179</v>
      </c>
      <c r="C27" s="6" t="s">
        <v>180</v>
      </c>
      <c r="D27" s="6" t="s">
        <v>181</v>
      </c>
      <c r="E27" s="6" t="s">
        <v>182</v>
      </c>
      <c r="F27" s="6" t="s">
        <v>183</v>
      </c>
      <c r="G27" s="6" t="s">
        <v>184</v>
      </c>
      <c r="H27" s="6" t="s">
        <v>185</v>
      </c>
      <c r="I27" s="6" t="s">
        <v>186</v>
      </c>
      <c r="J27" s="6" t="s">
        <v>187</v>
      </c>
      <c r="K27" s="6" t="s">
        <v>188</v>
      </c>
      <c r="L27" s="7" t="s">
        <v>49</v>
      </c>
      <c r="M27" s="7" t="s">
        <v>100</v>
      </c>
      <c r="N27" s="7" t="s">
        <v>101</v>
      </c>
      <c r="O27" s="7" t="s">
        <v>189</v>
      </c>
      <c r="P27" s="6" t="s">
        <v>190</v>
      </c>
      <c r="Q27" s="6" t="s">
        <v>191</v>
      </c>
      <c r="R27" s="8" t="s">
        <v>506</v>
      </c>
      <c r="S27" s="8" t="s">
        <v>534</v>
      </c>
    </row>
    <row r="28" spans="1:19" ht="57" x14ac:dyDescent="0.3">
      <c r="A28" s="5" t="s">
        <v>192</v>
      </c>
      <c r="B28" s="6" t="s">
        <v>179</v>
      </c>
      <c r="C28" s="6" t="s">
        <v>193</v>
      </c>
      <c r="D28" s="6" t="s">
        <v>194</v>
      </c>
      <c r="E28" s="6" t="s">
        <v>195</v>
      </c>
      <c r="F28" s="6" t="s">
        <v>183</v>
      </c>
      <c r="G28" s="6" t="s">
        <v>196</v>
      </c>
      <c r="H28" s="6" t="s">
        <v>185</v>
      </c>
      <c r="I28" s="6" t="s">
        <v>186</v>
      </c>
      <c r="J28" s="6" t="s">
        <v>187</v>
      </c>
      <c r="K28" s="6" t="s">
        <v>188</v>
      </c>
      <c r="L28" s="7" t="s">
        <v>49</v>
      </c>
      <c r="M28" s="7" t="s">
        <v>100</v>
      </c>
      <c r="N28" s="7" t="s">
        <v>101</v>
      </c>
      <c r="O28" s="7" t="s">
        <v>189</v>
      </c>
      <c r="P28" s="6" t="s">
        <v>190</v>
      </c>
      <c r="Q28" s="6" t="s">
        <v>191</v>
      </c>
      <c r="R28" s="8" t="s">
        <v>506</v>
      </c>
      <c r="S28" s="8" t="s">
        <v>535</v>
      </c>
    </row>
    <row r="29" spans="1:19" ht="57" x14ac:dyDescent="0.3">
      <c r="A29" s="5" t="s">
        <v>197</v>
      </c>
      <c r="B29" s="6" t="s">
        <v>179</v>
      </c>
      <c r="C29" s="6" t="s">
        <v>198</v>
      </c>
      <c r="D29" s="6" t="s">
        <v>199</v>
      </c>
      <c r="E29" s="6" t="s">
        <v>200</v>
      </c>
      <c r="F29" s="6" t="s">
        <v>183</v>
      </c>
      <c r="G29" s="6" t="s">
        <v>201</v>
      </c>
      <c r="H29" s="6" t="s">
        <v>185</v>
      </c>
      <c r="I29" s="6" t="s">
        <v>186</v>
      </c>
      <c r="J29" s="6" t="s">
        <v>187</v>
      </c>
      <c r="K29" s="6" t="s">
        <v>188</v>
      </c>
      <c r="L29" s="7" t="s">
        <v>49</v>
      </c>
      <c r="M29" s="7" t="s">
        <v>100</v>
      </c>
      <c r="N29" s="7" t="s">
        <v>101</v>
      </c>
      <c r="O29" s="7" t="s">
        <v>189</v>
      </c>
      <c r="P29" s="6" t="s">
        <v>190</v>
      </c>
      <c r="Q29" s="6" t="s">
        <v>191</v>
      </c>
      <c r="R29" s="8" t="s">
        <v>506</v>
      </c>
      <c r="S29" s="8" t="s">
        <v>536</v>
      </c>
    </row>
    <row r="30" spans="1:19" ht="57" x14ac:dyDescent="0.3">
      <c r="A30" s="5" t="s">
        <v>202</v>
      </c>
      <c r="B30" s="6" t="s">
        <v>179</v>
      </c>
      <c r="C30" s="6" t="s">
        <v>203</v>
      </c>
      <c r="D30" s="6" t="s">
        <v>204</v>
      </c>
      <c r="E30" s="6" t="s">
        <v>205</v>
      </c>
      <c r="F30" s="6" t="s">
        <v>183</v>
      </c>
      <c r="G30" s="6" t="s">
        <v>206</v>
      </c>
      <c r="H30" s="6" t="s">
        <v>185</v>
      </c>
      <c r="I30" s="6" t="s">
        <v>186</v>
      </c>
      <c r="J30" s="6" t="s">
        <v>187</v>
      </c>
      <c r="K30" s="6" t="s">
        <v>188</v>
      </c>
      <c r="L30" s="7" t="s">
        <v>49</v>
      </c>
      <c r="M30" s="7" t="s">
        <v>100</v>
      </c>
      <c r="N30" s="7" t="s">
        <v>101</v>
      </c>
      <c r="O30" s="7" t="s">
        <v>189</v>
      </c>
      <c r="P30" s="6" t="s">
        <v>190</v>
      </c>
      <c r="Q30" s="6" t="s">
        <v>191</v>
      </c>
      <c r="R30" s="8" t="s">
        <v>506</v>
      </c>
      <c r="S30" s="8" t="s">
        <v>537</v>
      </c>
    </row>
    <row r="31" spans="1:19" ht="57" x14ac:dyDescent="0.3">
      <c r="A31" s="5" t="s">
        <v>207</v>
      </c>
      <c r="B31" s="6" t="s">
        <v>179</v>
      </c>
      <c r="C31" s="6" t="s">
        <v>208</v>
      </c>
      <c r="D31" s="6" t="s">
        <v>209</v>
      </c>
      <c r="E31" s="6" t="s">
        <v>210</v>
      </c>
      <c r="F31" s="6" t="s">
        <v>183</v>
      </c>
      <c r="G31" s="6" t="s">
        <v>211</v>
      </c>
      <c r="H31" s="6" t="s">
        <v>185</v>
      </c>
      <c r="I31" s="6" t="s">
        <v>186</v>
      </c>
      <c r="J31" s="6" t="s">
        <v>187</v>
      </c>
      <c r="K31" s="6" t="s">
        <v>188</v>
      </c>
      <c r="L31" s="7" t="s">
        <v>49</v>
      </c>
      <c r="M31" s="7" t="s">
        <v>100</v>
      </c>
      <c r="N31" s="7" t="s">
        <v>101</v>
      </c>
      <c r="O31" s="7" t="s">
        <v>189</v>
      </c>
      <c r="P31" s="6" t="s">
        <v>190</v>
      </c>
      <c r="Q31" s="6" t="s">
        <v>191</v>
      </c>
      <c r="R31" s="8" t="s">
        <v>506</v>
      </c>
      <c r="S31" s="8" t="s">
        <v>538</v>
      </c>
    </row>
    <row r="32" spans="1:19" ht="57" x14ac:dyDescent="0.3">
      <c r="A32" s="5" t="s">
        <v>212</v>
      </c>
      <c r="B32" s="6" t="s">
        <v>179</v>
      </c>
      <c r="C32" s="6" t="s">
        <v>208</v>
      </c>
      <c r="D32" s="6" t="s">
        <v>213</v>
      </c>
      <c r="E32" s="6" t="s">
        <v>214</v>
      </c>
      <c r="F32" s="6" t="s">
        <v>183</v>
      </c>
      <c r="G32" s="6" t="s">
        <v>211</v>
      </c>
      <c r="H32" s="6" t="s">
        <v>185</v>
      </c>
      <c r="I32" s="6" t="s">
        <v>186</v>
      </c>
      <c r="J32" s="6" t="s">
        <v>187</v>
      </c>
      <c r="K32" s="6" t="s">
        <v>188</v>
      </c>
      <c r="L32" s="7" t="s">
        <v>49</v>
      </c>
      <c r="M32" s="7" t="s">
        <v>100</v>
      </c>
      <c r="N32" s="7" t="s">
        <v>101</v>
      </c>
      <c r="O32" s="7" t="s">
        <v>189</v>
      </c>
      <c r="P32" s="6" t="s">
        <v>190</v>
      </c>
      <c r="Q32" s="6" t="s">
        <v>191</v>
      </c>
      <c r="R32" s="8" t="s">
        <v>506</v>
      </c>
      <c r="S32" s="8" t="s">
        <v>539</v>
      </c>
    </row>
    <row r="33" spans="1:19" ht="57" x14ac:dyDescent="0.3">
      <c r="A33" s="5" t="s">
        <v>215</v>
      </c>
      <c r="B33" s="6" t="s">
        <v>179</v>
      </c>
      <c r="C33" s="6" t="s">
        <v>208</v>
      </c>
      <c r="D33" s="6" t="s">
        <v>216</v>
      </c>
      <c r="E33" s="6" t="s">
        <v>217</v>
      </c>
      <c r="F33" s="6" t="s">
        <v>183</v>
      </c>
      <c r="G33" s="6" t="s">
        <v>218</v>
      </c>
      <c r="H33" s="6" t="s">
        <v>185</v>
      </c>
      <c r="I33" s="6" t="s">
        <v>186</v>
      </c>
      <c r="J33" s="6" t="s">
        <v>187</v>
      </c>
      <c r="K33" s="6" t="s">
        <v>188</v>
      </c>
      <c r="L33" s="7" t="s">
        <v>49</v>
      </c>
      <c r="M33" s="7" t="s">
        <v>100</v>
      </c>
      <c r="N33" s="7" t="s">
        <v>101</v>
      </c>
      <c r="O33" s="7" t="s">
        <v>189</v>
      </c>
      <c r="P33" s="6" t="s">
        <v>190</v>
      </c>
      <c r="Q33" s="6" t="s">
        <v>191</v>
      </c>
      <c r="R33" s="8" t="s">
        <v>506</v>
      </c>
      <c r="S33" s="8" t="s">
        <v>540</v>
      </c>
    </row>
    <row r="34" spans="1:19" ht="57" x14ac:dyDescent="0.3">
      <c r="A34" s="5" t="s">
        <v>219</v>
      </c>
      <c r="B34" s="6" t="s">
        <v>179</v>
      </c>
      <c r="C34" s="6" t="s">
        <v>208</v>
      </c>
      <c r="D34" s="6" t="s">
        <v>220</v>
      </c>
      <c r="E34" s="6" t="s">
        <v>221</v>
      </c>
      <c r="F34" s="6" t="s">
        <v>183</v>
      </c>
      <c r="G34" s="6" t="s">
        <v>211</v>
      </c>
      <c r="H34" s="6" t="s">
        <v>185</v>
      </c>
      <c r="I34" s="6" t="s">
        <v>186</v>
      </c>
      <c r="J34" s="6" t="s">
        <v>187</v>
      </c>
      <c r="K34" s="6" t="s">
        <v>188</v>
      </c>
      <c r="L34" s="7" t="s">
        <v>49</v>
      </c>
      <c r="M34" s="7" t="s">
        <v>100</v>
      </c>
      <c r="N34" s="7" t="s">
        <v>101</v>
      </c>
      <c r="O34" s="7" t="s">
        <v>189</v>
      </c>
      <c r="P34" s="6" t="s">
        <v>190</v>
      </c>
      <c r="Q34" s="6" t="s">
        <v>191</v>
      </c>
      <c r="R34" s="8" t="s">
        <v>506</v>
      </c>
      <c r="S34" s="8" t="s">
        <v>541</v>
      </c>
    </row>
    <row r="35" spans="1:19" ht="57" x14ac:dyDescent="0.3">
      <c r="A35" s="5" t="s">
        <v>222</v>
      </c>
      <c r="B35" s="6" t="s">
        <v>179</v>
      </c>
      <c r="C35" s="6" t="s">
        <v>208</v>
      </c>
      <c r="D35" s="6" t="s">
        <v>223</v>
      </c>
      <c r="E35" s="6" t="s">
        <v>224</v>
      </c>
      <c r="F35" s="6" t="s">
        <v>183</v>
      </c>
      <c r="G35" s="6" t="s">
        <v>211</v>
      </c>
      <c r="H35" s="6" t="s">
        <v>185</v>
      </c>
      <c r="I35" s="6" t="s">
        <v>186</v>
      </c>
      <c r="J35" s="6" t="s">
        <v>187</v>
      </c>
      <c r="K35" s="6" t="s">
        <v>188</v>
      </c>
      <c r="L35" s="7" t="s">
        <v>49</v>
      </c>
      <c r="M35" s="7" t="s">
        <v>100</v>
      </c>
      <c r="N35" s="7" t="s">
        <v>101</v>
      </c>
      <c r="O35" s="7" t="s">
        <v>189</v>
      </c>
      <c r="P35" s="6" t="s">
        <v>190</v>
      </c>
      <c r="Q35" s="6" t="s">
        <v>191</v>
      </c>
      <c r="R35" s="8" t="s">
        <v>506</v>
      </c>
      <c r="S35" s="8" t="s">
        <v>542</v>
      </c>
    </row>
    <row r="36" spans="1:19" ht="57" x14ac:dyDescent="0.3">
      <c r="A36" s="5" t="s">
        <v>225</v>
      </c>
      <c r="B36" s="6" t="s">
        <v>179</v>
      </c>
      <c r="C36" s="6" t="s">
        <v>208</v>
      </c>
      <c r="D36" s="6" t="s">
        <v>226</v>
      </c>
      <c r="E36" s="6" t="s">
        <v>227</v>
      </c>
      <c r="F36" s="6" t="s">
        <v>183</v>
      </c>
      <c r="G36" s="6" t="s">
        <v>211</v>
      </c>
      <c r="H36" s="6" t="s">
        <v>185</v>
      </c>
      <c r="I36" s="6" t="s">
        <v>186</v>
      </c>
      <c r="J36" s="6" t="s">
        <v>187</v>
      </c>
      <c r="K36" s="6" t="s">
        <v>188</v>
      </c>
      <c r="L36" s="7" t="s">
        <v>49</v>
      </c>
      <c r="M36" s="7" t="s">
        <v>100</v>
      </c>
      <c r="N36" s="7" t="s">
        <v>101</v>
      </c>
      <c r="O36" s="7" t="s">
        <v>189</v>
      </c>
      <c r="P36" s="6" t="s">
        <v>190</v>
      </c>
      <c r="Q36" s="6" t="s">
        <v>191</v>
      </c>
      <c r="R36" s="8" t="s">
        <v>506</v>
      </c>
      <c r="S36" s="8" t="s">
        <v>543</v>
      </c>
    </row>
    <row r="37" spans="1:19" ht="57" x14ac:dyDescent="0.3">
      <c r="A37" s="5" t="s">
        <v>228</v>
      </c>
      <c r="B37" s="6" t="s">
        <v>179</v>
      </c>
      <c r="C37" s="6" t="s">
        <v>208</v>
      </c>
      <c r="D37" s="6" t="s">
        <v>229</v>
      </c>
      <c r="E37" s="6" t="s">
        <v>230</v>
      </c>
      <c r="F37" s="6" t="s">
        <v>183</v>
      </c>
      <c r="G37" s="6" t="s">
        <v>206</v>
      </c>
      <c r="H37" s="6" t="s">
        <v>185</v>
      </c>
      <c r="I37" s="6" t="s">
        <v>186</v>
      </c>
      <c r="J37" s="6" t="s">
        <v>187</v>
      </c>
      <c r="K37" s="6" t="s">
        <v>188</v>
      </c>
      <c r="L37" s="7" t="s">
        <v>49</v>
      </c>
      <c r="M37" s="7" t="s">
        <v>100</v>
      </c>
      <c r="N37" s="7" t="s">
        <v>101</v>
      </c>
      <c r="O37" s="7" t="s">
        <v>189</v>
      </c>
      <c r="P37" s="6" t="s">
        <v>190</v>
      </c>
      <c r="Q37" s="6" t="s">
        <v>191</v>
      </c>
      <c r="R37" s="8" t="s">
        <v>506</v>
      </c>
      <c r="S37" s="8" t="s">
        <v>544</v>
      </c>
    </row>
    <row r="38" spans="1:19" ht="57" x14ac:dyDescent="0.3">
      <c r="A38" s="5" t="s">
        <v>231</v>
      </c>
      <c r="B38" s="6" t="s">
        <v>179</v>
      </c>
      <c r="C38" s="6" t="s">
        <v>208</v>
      </c>
      <c r="D38" s="6" t="s">
        <v>232</v>
      </c>
      <c r="E38" s="6" t="s">
        <v>233</v>
      </c>
      <c r="F38" s="6" t="s">
        <v>183</v>
      </c>
      <c r="G38" s="6" t="s">
        <v>201</v>
      </c>
      <c r="H38" s="6" t="s">
        <v>185</v>
      </c>
      <c r="I38" s="6" t="s">
        <v>186</v>
      </c>
      <c r="J38" s="6" t="s">
        <v>187</v>
      </c>
      <c r="K38" s="6" t="s">
        <v>188</v>
      </c>
      <c r="L38" s="7" t="s">
        <v>49</v>
      </c>
      <c r="M38" s="7" t="s">
        <v>100</v>
      </c>
      <c r="N38" s="7" t="s">
        <v>101</v>
      </c>
      <c r="O38" s="7" t="s">
        <v>189</v>
      </c>
      <c r="P38" s="6" t="s">
        <v>190</v>
      </c>
      <c r="Q38" s="6" t="s">
        <v>191</v>
      </c>
      <c r="R38" s="8" t="s">
        <v>506</v>
      </c>
      <c r="S38" s="8" t="s">
        <v>545</v>
      </c>
    </row>
    <row r="39" spans="1:19" ht="57" x14ac:dyDescent="0.3">
      <c r="A39" s="5" t="s">
        <v>234</v>
      </c>
      <c r="B39" s="6" t="s">
        <v>179</v>
      </c>
      <c r="C39" s="6" t="s">
        <v>208</v>
      </c>
      <c r="D39" s="6" t="s">
        <v>235</v>
      </c>
      <c r="E39" s="6" t="s">
        <v>236</v>
      </c>
      <c r="F39" s="6" t="s">
        <v>183</v>
      </c>
      <c r="G39" s="6" t="s">
        <v>206</v>
      </c>
      <c r="H39" s="6" t="s">
        <v>185</v>
      </c>
      <c r="I39" s="6" t="s">
        <v>186</v>
      </c>
      <c r="J39" s="6" t="s">
        <v>187</v>
      </c>
      <c r="K39" s="6" t="s">
        <v>188</v>
      </c>
      <c r="L39" s="7" t="s">
        <v>49</v>
      </c>
      <c r="M39" s="7" t="s">
        <v>100</v>
      </c>
      <c r="N39" s="7" t="s">
        <v>101</v>
      </c>
      <c r="O39" s="7" t="s">
        <v>189</v>
      </c>
      <c r="P39" s="6" t="s">
        <v>190</v>
      </c>
      <c r="Q39" s="6" t="s">
        <v>191</v>
      </c>
      <c r="R39" s="8" t="s">
        <v>506</v>
      </c>
      <c r="S39" s="8" t="s">
        <v>546</v>
      </c>
    </row>
    <row r="40" spans="1:19" ht="57" x14ac:dyDescent="0.3">
      <c r="A40" s="5" t="s">
        <v>237</v>
      </c>
      <c r="B40" s="6" t="s">
        <v>179</v>
      </c>
      <c r="C40" s="6" t="s">
        <v>208</v>
      </c>
      <c r="D40" s="6" t="s">
        <v>238</v>
      </c>
      <c r="E40" s="6" t="s">
        <v>239</v>
      </c>
      <c r="F40" s="6" t="s">
        <v>183</v>
      </c>
      <c r="G40" s="6" t="s">
        <v>206</v>
      </c>
      <c r="H40" s="6" t="s">
        <v>185</v>
      </c>
      <c r="I40" s="6" t="s">
        <v>186</v>
      </c>
      <c r="J40" s="6" t="s">
        <v>187</v>
      </c>
      <c r="K40" s="6" t="s">
        <v>188</v>
      </c>
      <c r="L40" s="7" t="s">
        <v>49</v>
      </c>
      <c r="M40" s="7" t="s">
        <v>100</v>
      </c>
      <c r="N40" s="7" t="s">
        <v>101</v>
      </c>
      <c r="O40" s="7" t="s">
        <v>189</v>
      </c>
      <c r="P40" s="6" t="s">
        <v>190</v>
      </c>
      <c r="Q40" s="6" t="s">
        <v>191</v>
      </c>
      <c r="R40" s="8" t="s">
        <v>506</v>
      </c>
      <c r="S40" s="8" t="s">
        <v>547</v>
      </c>
    </row>
    <row r="41" spans="1:19" ht="57" x14ac:dyDescent="0.3">
      <c r="A41" s="5" t="s">
        <v>240</v>
      </c>
      <c r="B41" s="6" t="s">
        <v>179</v>
      </c>
      <c r="C41" s="6" t="s">
        <v>208</v>
      </c>
      <c r="D41" s="6" t="s">
        <v>241</v>
      </c>
      <c r="E41" s="6" t="s">
        <v>242</v>
      </c>
      <c r="F41" s="6" t="s">
        <v>183</v>
      </c>
      <c r="G41" s="6" t="s">
        <v>206</v>
      </c>
      <c r="H41" s="6" t="s">
        <v>185</v>
      </c>
      <c r="I41" s="6" t="s">
        <v>186</v>
      </c>
      <c r="J41" s="6" t="s">
        <v>187</v>
      </c>
      <c r="K41" s="6" t="s">
        <v>188</v>
      </c>
      <c r="L41" s="7" t="s">
        <v>49</v>
      </c>
      <c r="M41" s="7" t="s">
        <v>100</v>
      </c>
      <c r="N41" s="7" t="s">
        <v>101</v>
      </c>
      <c r="O41" s="7" t="s">
        <v>189</v>
      </c>
      <c r="P41" s="6" t="s">
        <v>190</v>
      </c>
      <c r="Q41" s="6" t="s">
        <v>191</v>
      </c>
      <c r="R41" s="8" t="s">
        <v>506</v>
      </c>
      <c r="S41" s="8" t="s">
        <v>548</v>
      </c>
    </row>
    <row r="42" spans="1:19" ht="57" x14ac:dyDescent="0.3">
      <c r="A42" s="5" t="s">
        <v>243</v>
      </c>
      <c r="B42" s="6" t="s">
        <v>179</v>
      </c>
      <c r="C42" s="6" t="s">
        <v>208</v>
      </c>
      <c r="D42" s="6" t="s">
        <v>244</v>
      </c>
      <c r="E42" s="6" t="s">
        <v>245</v>
      </c>
      <c r="F42" s="6" t="s">
        <v>183</v>
      </c>
      <c r="G42" s="6" t="s">
        <v>201</v>
      </c>
      <c r="H42" s="6" t="s">
        <v>185</v>
      </c>
      <c r="I42" s="6" t="s">
        <v>186</v>
      </c>
      <c r="J42" s="6" t="s">
        <v>187</v>
      </c>
      <c r="K42" s="6" t="s">
        <v>188</v>
      </c>
      <c r="L42" s="7" t="s">
        <v>49</v>
      </c>
      <c r="M42" s="7" t="s">
        <v>100</v>
      </c>
      <c r="N42" s="7" t="s">
        <v>101</v>
      </c>
      <c r="O42" s="7" t="s">
        <v>189</v>
      </c>
      <c r="P42" s="6" t="s">
        <v>190</v>
      </c>
      <c r="Q42" s="6" t="s">
        <v>191</v>
      </c>
      <c r="R42" s="8" t="s">
        <v>506</v>
      </c>
      <c r="S42" s="8" t="s">
        <v>549</v>
      </c>
    </row>
    <row r="43" spans="1:19" ht="57" x14ac:dyDescent="0.3">
      <c r="A43" s="5" t="s">
        <v>246</v>
      </c>
      <c r="B43" s="6" t="s">
        <v>179</v>
      </c>
      <c r="C43" s="6" t="s">
        <v>208</v>
      </c>
      <c r="D43" s="6" t="s">
        <v>247</v>
      </c>
      <c r="E43" s="6" t="s">
        <v>248</v>
      </c>
      <c r="F43" s="6" t="s">
        <v>183</v>
      </c>
      <c r="G43" s="6" t="s">
        <v>206</v>
      </c>
      <c r="H43" s="6" t="s">
        <v>185</v>
      </c>
      <c r="I43" s="6" t="s">
        <v>186</v>
      </c>
      <c r="J43" s="6" t="s">
        <v>187</v>
      </c>
      <c r="K43" s="6" t="s">
        <v>188</v>
      </c>
      <c r="L43" s="7" t="s">
        <v>49</v>
      </c>
      <c r="M43" s="7" t="s">
        <v>100</v>
      </c>
      <c r="N43" s="7" t="s">
        <v>101</v>
      </c>
      <c r="O43" s="7" t="s">
        <v>189</v>
      </c>
      <c r="P43" s="6" t="s">
        <v>190</v>
      </c>
      <c r="Q43" s="6" t="s">
        <v>191</v>
      </c>
      <c r="R43" s="8" t="s">
        <v>506</v>
      </c>
      <c r="S43" s="8" t="s">
        <v>550</v>
      </c>
    </row>
    <row r="44" spans="1:19" ht="57" x14ac:dyDescent="0.3">
      <c r="A44" s="5" t="s">
        <v>249</v>
      </c>
      <c r="B44" s="6" t="s">
        <v>179</v>
      </c>
      <c r="C44" s="6" t="s">
        <v>208</v>
      </c>
      <c r="D44" s="6" t="s">
        <v>250</v>
      </c>
      <c r="E44" s="6" t="s">
        <v>251</v>
      </c>
      <c r="F44" s="6" t="s">
        <v>183</v>
      </c>
      <c r="G44" s="6" t="s">
        <v>252</v>
      </c>
      <c r="H44" s="6" t="s">
        <v>185</v>
      </c>
      <c r="I44" s="6" t="s">
        <v>186</v>
      </c>
      <c r="J44" s="6" t="s">
        <v>187</v>
      </c>
      <c r="K44" s="6" t="s">
        <v>188</v>
      </c>
      <c r="L44" s="7" t="s">
        <v>49</v>
      </c>
      <c r="M44" s="7" t="s">
        <v>100</v>
      </c>
      <c r="N44" s="7" t="s">
        <v>101</v>
      </c>
      <c r="O44" s="7" t="s">
        <v>189</v>
      </c>
      <c r="P44" s="6" t="s">
        <v>190</v>
      </c>
      <c r="Q44" s="6" t="s">
        <v>191</v>
      </c>
      <c r="R44" s="8" t="s">
        <v>506</v>
      </c>
      <c r="S44" s="8" t="s">
        <v>551</v>
      </c>
    </row>
    <row r="45" spans="1:19" ht="57" x14ac:dyDescent="0.3">
      <c r="A45" s="5" t="s">
        <v>253</v>
      </c>
      <c r="B45" s="6" t="s">
        <v>179</v>
      </c>
      <c r="C45" s="6" t="s">
        <v>208</v>
      </c>
      <c r="D45" s="6" t="s">
        <v>254</v>
      </c>
      <c r="E45" s="6" t="s">
        <v>255</v>
      </c>
      <c r="F45" s="6" t="s">
        <v>183</v>
      </c>
      <c r="G45" s="6" t="s">
        <v>211</v>
      </c>
      <c r="H45" s="6" t="s">
        <v>185</v>
      </c>
      <c r="I45" s="6" t="s">
        <v>186</v>
      </c>
      <c r="J45" s="6" t="s">
        <v>187</v>
      </c>
      <c r="K45" s="6" t="s">
        <v>188</v>
      </c>
      <c r="L45" s="7" t="s">
        <v>49</v>
      </c>
      <c r="M45" s="7" t="s">
        <v>100</v>
      </c>
      <c r="N45" s="7" t="s">
        <v>101</v>
      </c>
      <c r="O45" s="7" t="s">
        <v>189</v>
      </c>
      <c r="P45" s="6" t="s">
        <v>190</v>
      </c>
      <c r="Q45" s="6" t="s">
        <v>191</v>
      </c>
      <c r="R45" s="8" t="s">
        <v>506</v>
      </c>
      <c r="S45" s="8" t="s">
        <v>552</v>
      </c>
    </row>
    <row r="46" spans="1:19" ht="57" x14ac:dyDescent="0.3">
      <c r="A46" s="5" t="s">
        <v>256</v>
      </c>
      <c r="B46" s="6" t="s">
        <v>179</v>
      </c>
      <c r="C46" s="6" t="s">
        <v>208</v>
      </c>
      <c r="D46" s="6" t="s">
        <v>257</v>
      </c>
      <c r="E46" s="6" t="s">
        <v>258</v>
      </c>
      <c r="F46" s="6" t="s">
        <v>183</v>
      </c>
      <c r="G46" s="6" t="s">
        <v>252</v>
      </c>
      <c r="H46" s="6" t="s">
        <v>185</v>
      </c>
      <c r="I46" s="6" t="s">
        <v>186</v>
      </c>
      <c r="J46" s="6" t="s">
        <v>187</v>
      </c>
      <c r="K46" s="6" t="s">
        <v>188</v>
      </c>
      <c r="L46" s="7" t="s">
        <v>49</v>
      </c>
      <c r="M46" s="7" t="s">
        <v>100</v>
      </c>
      <c r="N46" s="7" t="s">
        <v>101</v>
      </c>
      <c r="O46" s="7" t="s">
        <v>189</v>
      </c>
      <c r="P46" s="6" t="s">
        <v>190</v>
      </c>
      <c r="Q46" s="6" t="s">
        <v>191</v>
      </c>
      <c r="R46" s="8" t="s">
        <v>506</v>
      </c>
      <c r="S46" s="8" t="s">
        <v>553</v>
      </c>
    </row>
    <row r="47" spans="1:19" ht="57" x14ac:dyDescent="0.3">
      <c r="A47" s="5" t="s">
        <v>259</v>
      </c>
      <c r="B47" s="6" t="s">
        <v>179</v>
      </c>
      <c r="C47" s="6" t="s">
        <v>208</v>
      </c>
      <c r="D47" s="6" t="s">
        <v>260</v>
      </c>
      <c r="E47" s="6" t="s">
        <v>261</v>
      </c>
      <c r="F47" s="6" t="s">
        <v>183</v>
      </c>
      <c r="G47" s="6" t="s">
        <v>252</v>
      </c>
      <c r="H47" s="6" t="s">
        <v>185</v>
      </c>
      <c r="I47" s="6" t="s">
        <v>186</v>
      </c>
      <c r="J47" s="6" t="s">
        <v>187</v>
      </c>
      <c r="K47" s="6" t="s">
        <v>188</v>
      </c>
      <c r="L47" s="7" t="s">
        <v>49</v>
      </c>
      <c r="M47" s="7" t="s">
        <v>100</v>
      </c>
      <c r="N47" s="7" t="s">
        <v>101</v>
      </c>
      <c r="O47" s="7" t="s">
        <v>189</v>
      </c>
      <c r="P47" s="6" t="s">
        <v>190</v>
      </c>
      <c r="Q47" s="6" t="s">
        <v>191</v>
      </c>
      <c r="R47" s="8" t="s">
        <v>506</v>
      </c>
      <c r="S47" s="8" t="s">
        <v>554</v>
      </c>
    </row>
    <row r="48" spans="1:19" ht="57" x14ac:dyDescent="0.3">
      <c r="A48" s="5" t="s">
        <v>262</v>
      </c>
      <c r="B48" s="6" t="s">
        <v>179</v>
      </c>
      <c r="C48" s="6" t="s">
        <v>208</v>
      </c>
      <c r="D48" s="6" t="s">
        <v>263</v>
      </c>
      <c r="E48" s="6" t="s">
        <v>264</v>
      </c>
      <c r="F48" s="6" t="s">
        <v>183</v>
      </c>
      <c r="G48" s="6" t="s">
        <v>206</v>
      </c>
      <c r="H48" s="6" t="s">
        <v>185</v>
      </c>
      <c r="I48" s="6" t="s">
        <v>186</v>
      </c>
      <c r="J48" s="6" t="s">
        <v>187</v>
      </c>
      <c r="K48" s="6" t="s">
        <v>188</v>
      </c>
      <c r="L48" s="7" t="s">
        <v>49</v>
      </c>
      <c r="M48" s="7" t="s">
        <v>100</v>
      </c>
      <c r="N48" s="7" t="s">
        <v>101</v>
      </c>
      <c r="O48" s="7" t="s">
        <v>189</v>
      </c>
      <c r="P48" s="6" t="s">
        <v>190</v>
      </c>
      <c r="Q48" s="6" t="s">
        <v>191</v>
      </c>
      <c r="R48" s="8" t="s">
        <v>506</v>
      </c>
      <c r="S48" s="8" t="s">
        <v>555</v>
      </c>
    </row>
    <row r="49" spans="1:19" ht="57" x14ac:dyDescent="0.3">
      <c r="A49" s="5" t="s">
        <v>265</v>
      </c>
      <c r="B49" s="6" t="s">
        <v>179</v>
      </c>
      <c r="C49" s="6" t="s">
        <v>208</v>
      </c>
      <c r="D49" s="6" t="s">
        <v>266</v>
      </c>
      <c r="E49" s="6" t="s">
        <v>267</v>
      </c>
      <c r="F49" s="6" t="s">
        <v>183</v>
      </c>
      <c r="G49" s="6" t="s">
        <v>268</v>
      </c>
      <c r="H49" s="6" t="s">
        <v>185</v>
      </c>
      <c r="I49" s="6" t="s">
        <v>186</v>
      </c>
      <c r="J49" s="6" t="s">
        <v>187</v>
      </c>
      <c r="K49" s="6" t="s">
        <v>188</v>
      </c>
      <c r="L49" s="7" t="s">
        <v>49</v>
      </c>
      <c r="M49" s="7" t="s">
        <v>100</v>
      </c>
      <c r="N49" s="7" t="s">
        <v>101</v>
      </c>
      <c r="O49" s="7" t="s">
        <v>189</v>
      </c>
      <c r="P49" s="6" t="s">
        <v>190</v>
      </c>
      <c r="Q49" s="6" t="s">
        <v>191</v>
      </c>
      <c r="R49" s="8" t="s">
        <v>506</v>
      </c>
      <c r="S49" s="8" t="s">
        <v>556</v>
      </c>
    </row>
    <row r="50" spans="1:19" ht="57" x14ac:dyDescent="0.3">
      <c r="A50" s="5" t="s">
        <v>269</v>
      </c>
      <c r="B50" s="6" t="s">
        <v>179</v>
      </c>
      <c r="C50" s="6" t="s">
        <v>208</v>
      </c>
      <c r="D50" s="6" t="s">
        <v>270</v>
      </c>
      <c r="E50" s="6" t="s">
        <v>271</v>
      </c>
      <c r="F50" s="6" t="s">
        <v>183</v>
      </c>
      <c r="G50" s="6" t="s">
        <v>206</v>
      </c>
      <c r="H50" s="6" t="s">
        <v>185</v>
      </c>
      <c r="I50" s="6" t="s">
        <v>186</v>
      </c>
      <c r="J50" s="6" t="s">
        <v>187</v>
      </c>
      <c r="K50" s="6" t="s">
        <v>188</v>
      </c>
      <c r="L50" s="7" t="s">
        <v>49</v>
      </c>
      <c r="M50" s="7" t="s">
        <v>100</v>
      </c>
      <c r="N50" s="7" t="s">
        <v>101</v>
      </c>
      <c r="O50" s="7" t="s">
        <v>189</v>
      </c>
      <c r="P50" s="6" t="s">
        <v>190</v>
      </c>
      <c r="Q50" s="6" t="s">
        <v>191</v>
      </c>
      <c r="R50" s="8" t="s">
        <v>506</v>
      </c>
      <c r="S50" s="8" t="s">
        <v>557</v>
      </c>
    </row>
    <row r="51" spans="1:19" ht="57" x14ac:dyDescent="0.3">
      <c r="A51" s="5" t="s">
        <v>272</v>
      </c>
      <c r="B51" s="6" t="s">
        <v>179</v>
      </c>
      <c r="C51" s="6" t="s">
        <v>208</v>
      </c>
      <c r="D51" s="6" t="s">
        <v>273</v>
      </c>
      <c r="E51" s="6" t="s">
        <v>274</v>
      </c>
      <c r="F51" s="6" t="s">
        <v>183</v>
      </c>
      <c r="G51" s="6" t="s">
        <v>206</v>
      </c>
      <c r="H51" s="6" t="s">
        <v>185</v>
      </c>
      <c r="I51" s="6" t="s">
        <v>186</v>
      </c>
      <c r="J51" s="6" t="s">
        <v>187</v>
      </c>
      <c r="K51" s="6" t="s">
        <v>188</v>
      </c>
      <c r="L51" s="7" t="s">
        <v>49</v>
      </c>
      <c r="M51" s="7" t="s">
        <v>100</v>
      </c>
      <c r="N51" s="7" t="s">
        <v>101</v>
      </c>
      <c r="O51" s="7" t="s">
        <v>189</v>
      </c>
      <c r="P51" s="6" t="s">
        <v>190</v>
      </c>
      <c r="Q51" s="6" t="s">
        <v>191</v>
      </c>
      <c r="R51" s="8" t="s">
        <v>506</v>
      </c>
      <c r="S51" s="8" t="s">
        <v>558</v>
      </c>
    </row>
    <row r="52" spans="1:19" ht="45.6" x14ac:dyDescent="0.3">
      <c r="A52" s="5" t="s">
        <v>275</v>
      </c>
      <c r="B52" s="6" t="s">
        <v>276</v>
      </c>
      <c r="C52" s="6" t="s">
        <v>277</v>
      </c>
      <c r="D52" s="6" t="s">
        <v>278</v>
      </c>
      <c r="E52" s="6" t="s">
        <v>279</v>
      </c>
      <c r="F52" s="6" t="s">
        <v>280</v>
      </c>
      <c r="G52" s="6" t="s">
        <v>281</v>
      </c>
      <c r="H52" s="6" t="s">
        <v>185</v>
      </c>
      <c r="I52" s="6" t="s">
        <v>282</v>
      </c>
      <c r="J52" s="6" t="s">
        <v>283</v>
      </c>
      <c r="K52" s="6" t="s">
        <v>284</v>
      </c>
      <c r="L52" s="7" t="s">
        <v>49</v>
      </c>
      <c r="M52" s="7" t="s">
        <v>100</v>
      </c>
      <c r="N52" s="7" t="s">
        <v>101</v>
      </c>
      <c r="O52" s="7" t="s">
        <v>285</v>
      </c>
      <c r="P52" s="6" t="s">
        <v>286</v>
      </c>
      <c r="Q52" s="6" t="s">
        <v>287</v>
      </c>
      <c r="R52" s="8" t="s">
        <v>506</v>
      </c>
      <c r="S52" s="8" t="s">
        <v>559</v>
      </c>
    </row>
    <row r="53" spans="1:19" ht="45.6" x14ac:dyDescent="0.3">
      <c r="A53" s="5" t="s">
        <v>288</v>
      </c>
      <c r="B53" s="6" t="s">
        <v>276</v>
      </c>
      <c r="C53" s="6" t="s">
        <v>277</v>
      </c>
      <c r="D53" s="6" t="s">
        <v>289</v>
      </c>
      <c r="E53" s="6" t="s">
        <v>290</v>
      </c>
      <c r="F53" s="6" t="s">
        <v>280</v>
      </c>
      <c r="G53" s="6" t="s">
        <v>281</v>
      </c>
      <c r="H53" s="6" t="s">
        <v>185</v>
      </c>
      <c r="I53" s="6" t="s">
        <v>282</v>
      </c>
      <c r="J53" s="6" t="s">
        <v>283</v>
      </c>
      <c r="K53" s="6" t="s">
        <v>284</v>
      </c>
      <c r="L53" s="7" t="s">
        <v>49</v>
      </c>
      <c r="M53" s="7" t="s">
        <v>100</v>
      </c>
      <c r="N53" s="7" t="s">
        <v>101</v>
      </c>
      <c r="O53" s="7" t="s">
        <v>285</v>
      </c>
      <c r="P53" s="6" t="s">
        <v>286</v>
      </c>
      <c r="Q53" s="6" t="s">
        <v>287</v>
      </c>
      <c r="R53" s="8" t="s">
        <v>506</v>
      </c>
      <c r="S53" s="8" t="s">
        <v>560</v>
      </c>
    </row>
    <row r="54" spans="1:19" ht="45.6" x14ac:dyDescent="0.3">
      <c r="A54" s="5" t="s">
        <v>291</v>
      </c>
      <c r="B54" s="6" t="s">
        <v>276</v>
      </c>
      <c r="C54" s="6" t="s">
        <v>277</v>
      </c>
      <c r="D54" s="6" t="s">
        <v>292</v>
      </c>
      <c r="E54" s="6" t="s">
        <v>293</v>
      </c>
      <c r="F54" s="6" t="s">
        <v>280</v>
      </c>
      <c r="G54" s="6" t="s">
        <v>281</v>
      </c>
      <c r="H54" s="6" t="s">
        <v>185</v>
      </c>
      <c r="I54" s="6" t="s">
        <v>282</v>
      </c>
      <c r="J54" s="6" t="s">
        <v>283</v>
      </c>
      <c r="K54" s="6" t="s">
        <v>284</v>
      </c>
      <c r="L54" s="7" t="s">
        <v>49</v>
      </c>
      <c r="M54" s="7" t="s">
        <v>100</v>
      </c>
      <c r="N54" s="7" t="s">
        <v>101</v>
      </c>
      <c r="O54" s="7" t="s">
        <v>285</v>
      </c>
      <c r="P54" s="6" t="s">
        <v>286</v>
      </c>
      <c r="Q54" s="6" t="s">
        <v>287</v>
      </c>
      <c r="R54" s="8" t="s">
        <v>506</v>
      </c>
      <c r="S54" s="8" t="s">
        <v>561</v>
      </c>
    </row>
    <row r="55" spans="1:19" ht="45.6" x14ac:dyDescent="0.3">
      <c r="A55" s="5" t="s">
        <v>294</v>
      </c>
      <c r="B55" s="6" t="s">
        <v>276</v>
      </c>
      <c r="C55" s="6" t="s">
        <v>277</v>
      </c>
      <c r="D55" s="6" t="s">
        <v>295</v>
      </c>
      <c r="E55" s="6" t="s">
        <v>296</v>
      </c>
      <c r="F55" s="6" t="s">
        <v>280</v>
      </c>
      <c r="G55" s="6" t="s">
        <v>281</v>
      </c>
      <c r="H55" s="6" t="s">
        <v>185</v>
      </c>
      <c r="I55" s="6" t="s">
        <v>282</v>
      </c>
      <c r="J55" s="6" t="s">
        <v>283</v>
      </c>
      <c r="K55" s="6" t="s">
        <v>284</v>
      </c>
      <c r="L55" s="7" t="s">
        <v>49</v>
      </c>
      <c r="M55" s="7" t="s">
        <v>100</v>
      </c>
      <c r="N55" s="7" t="s">
        <v>101</v>
      </c>
      <c r="O55" s="7" t="s">
        <v>285</v>
      </c>
      <c r="P55" s="6" t="s">
        <v>286</v>
      </c>
      <c r="Q55" s="6" t="s">
        <v>287</v>
      </c>
      <c r="R55" s="8" t="s">
        <v>506</v>
      </c>
      <c r="S55" s="8" t="s">
        <v>562</v>
      </c>
    </row>
    <row r="56" spans="1:19" ht="45.6" x14ac:dyDescent="0.3">
      <c r="A56" s="5" t="s">
        <v>297</v>
      </c>
      <c r="B56" s="6" t="s">
        <v>276</v>
      </c>
      <c r="C56" s="6" t="s">
        <v>277</v>
      </c>
      <c r="D56" s="6" t="s">
        <v>298</v>
      </c>
      <c r="E56" s="6" t="s">
        <v>299</v>
      </c>
      <c r="F56" s="6" t="s">
        <v>280</v>
      </c>
      <c r="G56" s="6" t="s">
        <v>281</v>
      </c>
      <c r="H56" s="6" t="s">
        <v>185</v>
      </c>
      <c r="I56" s="6" t="s">
        <v>282</v>
      </c>
      <c r="J56" s="6" t="s">
        <v>283</v>
      </c>
      <c r="K56" s="6" t="s">
        <v>284</v>
      </c>
      <c r="L56" s="7" t="s">
        <v>49</v>
      </c>
      <c r="M56" s="7" t="s">
        <v>100</v>
      </c>
      <c r="N56" s="7" t="s">
        <v>101</v>
      </c>
      <c r="O56" s="7" t="s">
        <v>285</v>
      </c>
      <c r="P56" s="6" t="s">
        <v>286</v>
      </c>
      <c r="Q56" s="6" t="s">
        <v>287</v>
      </c>
      <c r="R56" s="8" t="s">
        <v>506</v>
      </c>
      <c r="S56" s="8" t="s">
        <v>563</v>
      </c>
    </row>
    <row r="57" spans="1:19" ht="45.6" x14ac:dyDescent="0.3">
      <c r="A57" s="5" t="s">
        <v>300</v>
      </c>
      <c r="B57" s="6" t="s">
        <v>276</v>
      </c>
      <c r="C57" s="6" t="s">
        <v>277</v>
      </c>
      <c r="D57" s="6" t="s">
        <v>301</v>
      </c>
      <c r="E57" s="6" t="s">
        <v>302</v>
      </c>
      <c r="F57" s="6" t="s">
        <v>280</v>
      </c>
      <c r="G57" s="6" t="s">
        <v>281</v>
      </c>
      <c r="H57" s="6" t="s">
        <v>185</v>
      </c>
      <c r="I57" s="6" t="s">
        <v>282</v>
      </c>
      <c r="J57" s="6" t="s">
        <v>283</v>
      </c>
      <c r="K57" s="6" t="s">
        <v>284</v>
      </c>
      <c r="L57" s="7" t="s">
        <v>49</v>
      </c>
      <c r="M57" s="7" t="s">
        <v>100</v>
      </c>
      <c r="N57" s="7" t="s">
        <v>101</v>
      </c>
      <c r="O57" s="7" t="s">
        <v>285</v>
      </c>
      <c r="P57" s="6" t="s">
        <v>286</v>
      </c>
      <c r="Q57" s="6" t="s">
        <v>287</v>
      </c>
      <c r="R57" s="8" t="s">
        <v>506</v>
      </c>
      <c r="S57" s="8" t="s">
        <v>564</v>
      </c>
    </row>
    <row r="58" spans="1:19" ht="45.6" x14ac:dyDescent="0.3">
      <c r="A58" s="5" t="s">
        <v>303</v>
      </c>
      <c r="B58" s="6" t="s">
        <v>276</v>
      </c>
      <c r="C58" s="6" t="s">
        <v>277</v>
      </c>
      <c r="D58" s="6" t="s">
        <v>304</v>
      </c>
      <c r="E58" s="6" t="s">
        <v>305</v>
      </c>
      <c r="F58" s="6" t="s">
        <v>280</v>
      </c>
      <c r="G58" s="6" t="s">
        <v>281</v>
      </c>
      <c r="H58" s="6" t="s">
        <v>185</v>
      </c>
      <c r="I58" s="6" t="s">
        <v>282</v>
      </c>
      <c r="J58" s="6" t="s">
        <v>283</v>
      </c>
      <c r="K58" s="6" t="s">
        <v>284</v>
      </c>
      <c r="L58" s="7" t="s">
        <v>49</v>
      </c>
      <c r="M58" s="7" t="s">
        <v>100</v>
      </c>
      <c r="N58" s="7" t="s">
        <v>101</v>
      </c>
      <c r="O58" s="7" t="s">
        <v>285</v>
      </c>
      <c r="P58" s="6" t="s">
        <v>286</v>
      </c>
      <c r="Q58" s="6" t="s">
        <v>287</v>
      </c>
      <c r="R58" s="8" t="s">
        <v>506</v>
      </c>
      <c r="S58" s="8" t="s">
        <v>565</v>
      </c>
    </row>
    <row r="59" spans="1:19" ht="45.6" x14ac:dyDescent="0.3">
      <c r="A59" s="5" t="s">
        <v>306</v>
      </c>
      <c r="B59" s="6" t="s">
        <v>276</v>
      </c>
      <c r="C59" s="6" t="s">
        <v>277</v>
      </c>
      <c r="D59" s="6" t="s">
        <v>307</v>
      </c>
      <c r="E59" s="6" t="s">
        <v>308</v>
      </c>
      <c r="F59" s="6" t="s">
        <v>280</v>
      </c>
      <c r="G59" s="6" t="s">
        <v>281</v>
      </c>
      <c r="H59" s="6" t="s">
        <v>185</v>
      </c>
      <c r="I59" s="6" t="s">
        <v>282</v>
      </c>
      <c r="J59" s="6" t="s">
        <v>283</v>
      </c>
      <c r="K59" s="6" t="s">
        <v>284</v>
      </c>
      <c r="L59" s="7" t="s">
        <v>49</v>
      </c>
      <c r="M59" s="7" t="s">
        <v>100</v>
      </c>
      <c r="N59" s="7" t="s">
        <v>101</v>
      </c>
      <c r="O59" s="7" t="s">
        <v>285</v>
      </c>
      <c r="P59" s="6" t="s">
        <v>286</v>
      </c>
      <c r="Q59" s="6" t="s">
        <v>287</v>
      </c>
      <c r="R59" s="8" t="s">
        <v>506</v>
      </c>
      <c r="S59" s="8" t="s">
        <v>566</v>
      </c>
    </row>
    <row r="60" spans="1:19" ht="45.6" x14ac:dyDescent="0.3">
      <c r="A60" s="5" t="s">
        <v>309</v>
      </c>
      <c r="B60" s="6" t="s">
        <v>276</v>
      </c>
      <c r="C60" s="6" t="s">
        <v>277</v>
      </c>
      <c r="D60" s="6" t="s">
        <v>310</v>
      </c>
      <c r="E60" s="6" t="s">
        <v>311</v>
      </c>
      <c r="F60" s="6" t="s">
        <v>280</v>
      </c>
      <c r="G60" s="6" t="s">
        <v>281</v>
      </c>
      <c r="H60" s="6" t="s">
        <v>185</v>
      </c>
      <c r="I60" s="6" t="s">
        <v>282</v>
      </c>
      <c r="J60" s="6" t="s">
        <v>283</v>
      </c>
      <c r="K60" s="6" t="s">
        <v>284</v>
      </c>
      <c r="L60" s="7" t="s">
        <v>49</v>
      </c>
      <c r="M60" s="7" t="s">
        <v>100</v>
      </c>
      <c r="N60" s="7" t="s">
        <v>101</v>
      </c>
      <c r="O60" s="7" t="s">
        <v>285</v>
      </c>
      <c r="P60" s="6" t="s">
        <v>286</v>
      </c>
      <c r="Q60" s="6" t="s">
        <v>287</v>
      </c>
      <c r="R60" s="8" t="s">
        <v>506</v>
      </c>
      <c r="S60" s="8" t="s">
        <v>567</v>
      </c>
    </row>
    <row r="61" spans="1:19" ht="45.6" x14ac:dyDescent="0.3">
      <c r="A61" s="5" t="s">
        <v>312</v>
      </c>
      <c r="B61" s="6" t="s">
        <v>276</v>
      </c>
      <c r="C61" s="6" t="s">
        <v>277</v>
      </c>
      <c r="D61" s="6" t="s">
        <v>313</v>
      </c>
      <c r="E61" s="6" t="s">
        <v>314</v>
      </c>
      <c r="F61" s="6" t="s">
        <v>280</v>
      </c>
      <c r="G61" s="6" t="s">
        <v>281</v>
      </c>
      <c r="H61" s="6" t="s">
        <v>185</v>
      </c>
      <c r="I61" s="6" t="s">
        <v>282</v>
      </c>
      <c r="J61" s="6" t="s">
        <v>283</v>
      </c>
      <c r="K61" s="6" t="s">
        <v>284</v>
      </c>
      <c r="L61" s="7" t="s">
        <v>49</v>
      </c>
      <c r="M61" s="7" t="s">
        <v>100</v>
      </c>
      <c r="N61" s="7" t="s">
        <v>101</v>
      </c>
      <c r="O61" s="7" t="s">
        <v>285</v>
      </c>
      <c r="P61" s="6" t="s">
        <v>286</v>
      </c>
      <c r="Q61" s="6" t="s">
        <v>287</v>
      </c>
      <c r="R61" s="8" t="s">
        <v>506</v>
      </c>
      <c r="S61" s="8" t="s">
        <v>568</v>
      </c>
    </row>
    <row r="62" spans="1:19" ht="45.6" x14ac:dyDescent="0.3">
      <c r="A62" s="5" t="s">
        <v>315</v>
      </c>
      <c r="B62" s="6" t="s">
        <v>276</v>
      </c>
      <c r="C62" s="6" t="s">
        <v>277</v>
      </c>
      <c r="D62" s="6" t="s">
        <v>316</v>
      </c>
      <c r="E62" s="6" t="s">
        <v>317</v>
      </c>
      <c r="F62" s="6" t="s">
        <v>280</v>
      </c>
      <c r="G62" s="6" t="s">
        <v>281</v>
      </c>
      <c r="H62" s="6" t="s">
        <v>185</v>
      </c>
      <c r="I62" s="6" t="s">
        <v>282</v>
      </c>
      <c r="J62" s="6" t="s">
        <v>283</v>
      </c>
      <c r="K62" s="6" t="s">
        <v>284</v>
      </c>
      <c r="L62" s="7" t="s">
        <v>49</v>
      </c>
      <c r="M62" s="7" t="s">
        <v>100</v>
      </c>
      <c r="N62" s="7" t="s">
        <v>101</v>
      </c>
      <c r="O62" s="7" t="s">
        <v>285</v>
      </c>
      <c r="P62" s="6" t="s">
        <v>286</v>
      </c>
      <c r="Q62" s="6" t="s">
        <v>287</v>
      </c>
      <c r="R62" s="8" t="s">
        <v>506</v>
      </c>
      <c r="S62" s="8" t="s">
        <v>568</v>
      </c>
    </row>
    <row r="63" spans="1:19" ht="45.6" x14ac:dyDescent="0.3">
      <c r="A63" s="5" t="s">
        <v>318</v>
      </c>
      <c r="B63" s="6" t="s">
        <v>276</v>
      </c>
      <c r="C63" s="6" t="s">
        <v>277</v>
      </c>
      <c r="D63" s="6" t="s">
        <v>319</v>
      </c>
      <c r="E63" s="6" t="s">
        <v>320</v>
      </c>
      <c r="F63" s="6" t="s">
        <v>280</v>
      </c>
      <c r="G63" s="6" t="s">
        <v>281</v>
      </c>
      <c r="H63" s="6" t="s">
        <v>185</v>
      </c>
      <c r="I63" s="6" t="s">
        <v>282</v>
      </c>
      <c r="J63" s="6" t="s">
        <v>283</v>
      </c>
      <c r="K63" s="6" t="s">
        <v>284</v>
      </c>
      <c r="L63" s="7" t="s">
        <v>49</v>
      </c>
      <c r="M63" s="7" t="s">
        <v>100</v>
      </c>
      <c r="N63" s="7" t="s">
        <v>101</v>
      </c>
      <c r="O63" s="7" t="s">
        <v>285</v>
      </c>
      <c r="P63" s="6" t="s">
        <v>286</v>
      </c>
      <c r="Q63" s="6" t="s">
        <v>287</v>
      </c>
      <c r="R63" s="8" t="s">
        <v>506</v>
      </c>
      <c r="S63" s="8" t="s">
        <v>568</v>
      </c>
    </row>
    <row r="64" spans="1:19" ht="45.6" x14ac:dyDescent="0.3">
      <c r="A64" s="5" t="s">
        <v>321</v>
      </c>
      <c r="B64" s="6" t="s">
        <v>276</v>
      </c>
      <c r="C64" s="6" t="s">
        <v>277</v>
      </c>
      <c r="D64" s="6" t="s">
        <v>322</v>
      </c>
      <c r="E64" s="6" t="s">
        <v>323</v>
      </c>
      <c r="F64" s="6" t="s">
        <v>280</v>
      </c>
      <c r="G64" s="6" t="s">
        <v>281</v>
      </c>
      <c r="H64" s="6" t="s">
        <v>185</v>
      </c>
      <c r="I64" s="6" t="s">
        <v>282</v>
      </c>
      <c r="J64" s="6" t="s">
        <v>283</v>
      </c>
      <c r="K64" s="6" t="s">
        <v>284</v>
      </c>
      <c r="L64" s="7" t="s">
        <v>49</v>
      </c>
      <c r="M64" s="7" t="s">
        <v>100</v>
      </c>
      <c r="N64" s="7" t="s">
        <v>101</v>
      </c>
      <c r="O64" s="7" t="s">
        <v>285</v>
      </c>
      <c r="P64" s="6" t="s">
        <v>286</v>
      </c>
      <c r="Q64" s="6" t="s">
        <v>287</v>
      </c>
      <c r="R64" s="8" t="s">
        <v>506</v>
      </c>
      <c r="S64" s="8" t="s">
        <v>568</v>
      </c>
    </row>
    <row r="65" spans="1:19" ht="45.6" x14ac:dyDescent="0.3">
      <c r="A65" s="5" t="s">
        <v>324</v>
      </c>
      <c r="B65" s="6" t="s">
        <v>276</v>
      </c>
      <c r="C65" s="6" t="s">
        <v>277</v>
      </c>
      <c r="D65" s="6" t="s">
        <v>325</v>
      </c>
      <c r="E65" s="6" t="s">
        <v>326</v>
      </c>
      <c r="F65" s="6" t="s">
        <v>280</v>
      </c>
      <c r="G65" s="6" t="s">
        <v>281</v>
      </c>
      <c r="H65" s="6" t="s">
        <v>185</v>
      </c>
      <c r="I65" s="6" t="s">
        <v>282</v>
      </c>
      <c r="J65" s="6" t="s">
        <v>283</v>
      </c>
      <c r="K65" s="6" t="s">
        <v>284</v>
      </c>
      <c r="L65" s="7" t="s">
        <v>49</v>
      </c>
      <c r="M65" s="7" t="s">
        <v>100</v>
      </c>
      <c r="N65" s="7" t="s">
        <v>101</v>
      </c>
      <c r="O65" s="7" t="s">
        <v>285</v>
      </c>
      <c r="P65" s="6" t="s">
        <v>286</v>
      </c>
      <c r="Q65" s="6" t="s">
        <v>287</v>
      </c>
      <c r="R65" s="8" t="s">
        <v>506</v>
      </c>
      <c r="S65" s="8" t="s">
        <v>568</v>
      </c>
    </row>
    <row r="66" spans="1:19" ht="45.6" x14ac:dyDescent="0.3">
      <c r="A66" s="5" t="s">
        <v>327</v>
      </c>
      <c r="B66" s="6" t="s">
        <v>276</v>
      </c>
      <c r="C66" s="6" t="s">
        <v>277</v>
      </c>
      <c r="D66" s="6" t="s">
        <v>328</v>
      </c>
      <c r="E66" s="6" t="s">
        <v>329</v>
      </c>
      <c r="F66" s="6" t="s">
        <v>280</v>
      </c>
      <c r="G66" s="6" t="s">
        <v>281</v>
      </c>
      <c r="H66" s="6" t="s">
        <v>185</v>
      </c>
      <c r="I66" s="6" t="s">
        <v>282</v>
      </c>
      <c r="J66" s="6" t="s">
        <v>283</v>
      </c>
      <c r="K66" s="6" t="s">
        <v>284</v>
      </c>
      <c r="L66" s="7" t="s">
        <v>49</v>
      </c>
      <c r="M66" s="7" t="s">
        <v>100</v>
      </c>
      <c r="N66" s="7" t="s">
        <v>101</v>
      </c>
      <c r="O66" s="7" t="s">
        <v>285</v>
      </c>
      <c r="P66" s="6" t="s">
        <v>286</v>
      </c>
      <c r="Q66" s="6" t="s">
        <v>287</v>
      </c>
      <c r="R66" s="8" t="s">
        <v>506</v>
      </c>
      <c r="S66" s="8" t="s">
        <v>568</v>
      </c>
    </row>
    <row r="67" spans="1:19" ht="45.6" x14ac:dyDescent="0.3">
      <c r="A67" s="5" t="s">
        <v>330</v>
      </c>
      <c r="B67" s="6" t="s">
        <v>276</v>
      </c>
      <c r="C67" s="6" t="s">
        <v>277</v>
      </c>
      <c r="D67" s="6" t="s">
        <v>331</v>
      </c>
      <c r="E67" s="6" t="s">
        <v>332</v>
      </c>
      <c r="F67" s="6" t="s">
        <v>280</v>
      </c>
      <c r="G67" s="6" t="s">
        <v>281</v>
      </c>
      <c r="H67" s="6" t="s">
        <v>185</v>
      </c>
      <c r="I67" s="6" t="s">
        <v>282</v>
      </c>
      <c r="J67" s="6" t="s">
        <v>283</v>
      </c>
      <c r="K67" s="6" t="s">
        <v>284</v>
      </c>
      <c r="L67" s="7" t="s">
        <v>49</v>
      </c>
      <c r="M67" s="7" t="s">
        <v>100</v>
      </c>
      <c r="N67" s="7" t="s">
        <v>101</v>
      </c>
      <c r="O67" s="7" t="s">
        <v>285</v>
      </c>
      <c r="P67" s="6" t="s">
        <v>286</v>
      </c>
      <c r="Q67" s="6" t="s">
        <v>287</v>
      </c>
      <c r="R67" s="8" t="s">
        <v>506</v>
      </c>
      <c r="S67" s="8" t="s">
        <v>568</v>
      </c>
    </row>
    <row r="68" spans="1:19" ht="45.6" x14ac:dyDescent="0.3">
      <c r="A68" s="5" t="s">
        <v>333</v>
      </c>
      <c r="B68" s="6" t="s">
        <v>276</v>
      </c>
      <c r="C68" s="6" t="s">
        <v>277</v>
      </c>
      <c r="D68" s="6" t="s">
        <v>334</v>
      </c>
      <c r="E68" s="6" t="s">
        <v>335</v>
      </c>
      <c r="F68" s="6" t="s">
        <v>280</v>
      </c>
      <c r="G68" s="6" t="s">
        <v>281</v>
      </c>
      <c r="H68" s="6" t="s">
        <v>185</v>
      </c>
      <c r="I68" s="6" t="s">
        <v>282</v>
      </c>
      <c r="J68" s="6" t="s">
        <v>283</v>
      </c>
      <c r="K68" s="6" t="s">
        <v>284</v>
      </c>
      <c r="L68" s="7" t="s">
        <v>49</v>
      </c>
      <c r="M68" s="7" t="s">
        <v>100</v>
      </c>
      <c r="N68" s="7" t="s">
        <v>101</v>
      </c>
      <c r="O68" s="7" t="s">
        <v>285</v>
      </c>
      <c r="P68" s="6" t="s">
        <v>286</v>
      </c>
      <c r="Q68" s="6" t="s">
        <v>287</v>
      </c>
      <c r="R68" s="8" t="s">
        <v>506</v>
      </c>
      <c r="S68" s="8" t="s">
        <v>568</v>
      </c>
    </row>
    <row r="69" spans="1:19" ht="45.6" x14ac:dyDescent="0.3">
      <c r="A69" s="5" t="s">
        <v>336</v>
      </c>
      <c r="B69" s="6" t="s">
        <v>276</v>
      </c>
      <c r="C69" s="6" t="s">
        <v>277</v>
      </c>
      <c r="D69" s="6" t="s">
        <v>337</v>
      </c>
      <c r="E69" s="6" t="s">
        <v>338</v>
      </c>
      <c r="F69" s="6" t="s">
        <v>280</v>
      </c>
      <c r="G69" s="6" t="s">
        <v>281</v>
      </c>
      <c r="H69" s="6" t="s">
        <v>185</v>
      </c>
      <c r="I69" s="6" t="s">
        <v>282</v>
      </c>
      <c r="J69" s="6" t="s">
        <v>283</v>
      </c>
      <c r="K69" s="6" t="s">
        <v>284</v>
      </c>
      <c r="L69" s="7" t="s">
        <v>49</v>
      </c>
      <c r="M69" s="7" t="s">
        <v>100</v>
      </c>
      <c r="N69" s="7" t="s">
        <v>101</v>
      </c>
      <c r="O69" s="7" t="s">
        <v>285</v>
      </c>
      <c r="P69" s="6" t="s">
        <v>286</v>
      </c>
      <c r="Q69" s="6" t="s">
        <v>287</v>
      </c>
      <c r="R69" s="8" t="s">
        <v>506</v>
      </c>
      <c r="S69" s="8" t="s">
        <v>568</v>
      </c>
    </row>
    <row r="70" spans="1:19" ht="45.6" x14ac:dyDescent="0.3">
      <c r="A70" s="5" t="s">
        <v>339</v>
      </c>
      <c r="B70" s="6" t="s">
        <v>276</v>
      </c>
      <c r="C70" s="6" t="s">
        <v>277</v>
      </c>
      <c r="D70" s="6" t="s">
        <v>340</v>
      </c>
      <c r="E70" s="6" t="s">
        <v>341</v>
      </c>
      <c r="F70" s="6" t="s">
        <v>280</v>
      </c>
      <c r="G70" s="6" t="s">
        <v>281</v>
      </c>
      <c r="H70" s="6" t="s">
        <v>185</v>
      </c>
      <c r="I70" s="6" t="s">
        <v>282</v>
      </c>
      <c r="J70" s="6" t="s">
        <v>283</v>
      </c>
      <c r="K70" s="6" t="s">
        <v>284</v>
      </c>
      <c r="L70" s="7" t="s">
        <v>49</v>
      </c>
      <c r="M70" s="7" t="s">
        <v>100</v>
      </c>
      <c r="N70" s="7" t="s">
        <v>101</v>
      </c>
      <c r="O70" s="7" t="s">
        <v>285</v>
      </c>
      <c r="P70" s="6" t="s">
        <v>286</v>
      </c>
      <c r="Q70" s="6" t="s">
        <v>287</v>
      </c>
      <c r="R70" s="8" t="s">
        <v>506</v>
      </c>
      <c r="S70" s="8" t="s">
        <v>568</v>
      </c>
    </row>
    <row r="71" spans="1:19" ht="45.6" x14ac:dyDescent="0.3">
      <c r="A71" s="5" t="s">
        <v>342</v>
      </c>
      <c r="B71" s="6" t="s">
        <v>276</v>
      </c>
      <c r="C71" s="6" t="s">
        <v>277</v>
      </c>
      <c r="D71" s="6" t="s">
        <v>343</v>
      </c>
      <c r="E71" s="6" t="s">
        <v>344</v>
      </c>
      <c r="F71" s="6" t="s">
        <v>280</v>
      </c>
      <c r="G71" s="6" t="s">
        <v>281</v>
      </c>
      <c r="H71" s="6" t="s">
        <v>185</v>
      </c>
      <c r="I71" s="6" t="s">
        <v>282</v>
      </c>
      <c r="J71" s="6" t="s">
        <v>283</v>
      </c>
      <c r="K71" s="6" t="s">
        <v>284</v>
      </c>
      <c r="L71" s="7" t="s">
        <v>49</v>
      </c>
      <c r="M71" s="7" t="s">
        <v>100</v>
      </c>
      <c r="N71" s="7" t="s">
        <v>101</v>
      </c>
      <c r="O71" s="7" t="s">
        <v>285</v>
      </c>
      <c r="P71" s="6" t="s">
        <v>286</v>
      </c>
      <c r="Q71" s="6" t="s">
        <v>287</v>
      </c>
      <c r="R71" s="8" t="s">
        <v>506</v>
      </c>
      <c r="S71" s="8" t="s">
        <v>569</v>
      </c>
    </row>
    <row r="72" spans="1:19" ht="45.6" x14ac:dyDescent="0.3">
      <c r="A72" s="5" t="s">
        <v>345</v>
      </c>
      <c r="B72" s="6" t="s">
        <v>276</v>
      </c>
      <c r="C72" s="6" t="s">
        <v>277</v>
      </c>
      <c r="D72" s="6" t="s">
        <v>346</v>
      </c>
      <c r="E72" s="6" t="s">
        <v>347</v>
      </c>
      <c r="F72" s="6" t="s">
        <v>280</v>
      </c>
      <c r="G72" s="6" t="s">
        <v>281</v>
      </c>
      <c r="H72" s="6" t="s">
        <v>185</v>
      </c>
      <c r="I72" s="6" t="s">
        <v>282</v>
      </c>
      <c r="J72" s="6" t="s">
        <v>283</v>
      </c>
      <c r="K72" s="6" t="s">
        <v>284</v>
      </c>
      <c r="L72" s="7" t="s">
        <v>49</v>
      </c>
      <c r="M72" s="7" t="s">
        <v>100</v>
      </c>
      <c r="N72" s="7" t="s">
        <v>101</v>
      </c>
      <c r="O72" s="7" t="s">
        <v>285</v>
      </c>
      <c r="P72" s="6" t="s">
        <v>286</v>
      </c>
      <c r="Q72" s="6" t="s">
        <v>287</v>
      </c>
      <c r="R72" s="8" t="s">
        <v>506</v>
      </c>
      <c r="S72" s="8" t="s">
        <v>569</v>
      </c>
    </row>
    <row r="73" spans="1:19" ht="45.6" x14ac:dyDescent="0.3">
      <c r="A73" s="5" t="s">
        <v>348</v>
      </c>
      <c r="B73" s="6" t="s">
        <v>276</v>
      </c>
      <c r="C73" s="6" t="s">
        <v>277</v>
      </c>
      <c r="D73" s="6" t="s">
        <v>349</v>
      </c>
      <c r="E73" s="6" t="s">
        <v>350</v>
      </c>
      <c r="F73" s="6" t="s">
        <v>280</v>
      </c>
      <c r="G73" s="6" t="s">
        <v>281</v>
      </c>
      <c r="H73" s="6" t="s">
        <v>185</v>
      </c>
      <c r="I73" s="6" t="s">
        <v>282</v>
      </c>
      <c r="J73" s="6" t="s">
        <v>283</v>
      </c>
      <c r="K73" s="6" t="s">
        <v>284</v>
      </c>
      <c r="L73" s="7" t="s">
        <v>49</v>
      </c>
      <c r="M73" s="7" t="s">
        <v>100</v>
      </c>
      <c r="N73" s="7" t="s">
        <v>101</v>
      </c>
      <c r="O73" s="7" t="s">
        <v>285</v>
      </c>
      <c r="P73" s="6" t="s">
        <v>286</v>
      </c>
      <c r="Q73" s="6" t="s">
        <v>287</v>
      </c>
      <c r="R73" s="8" t="s">
        <v>506</v>
      </c>
      <c r="S73" s="8" t="s">
        <v>569</v>
      </c>
    </row>
    <row r="74" spans="1:19" ht="45.6" x14ac:dyDescent="0.3">
      <c r="A74" s="5" t="s">
        <v>351</v>
      </c>
      <c r="B74" s="6" t="s">
        <v>276</v>
      </c>
      <c r="C74" s="6" t="s">
        <v>277</v>
      </c>
      <c r="D74" s="6" t="s">
        <v>352</v>
      </c>
      <c r="E74" s="6" t="s">
        <v>353</v>
      </c>
      <c r="F74" s="6" t="s">
        <v>280</v>
      </c>
      <c r="G74" s="6" t="s">
        <v>281</v>
      </c>
      <c r="H74" s="6" t="s">
        <v>185</v>
      </c>
      <c r="I74" s="6" t="s">
        <v>282</v>
      </c>
      <c r="J74" s="6" t="s">
        <v>283</v>
      </c>
      <c r="K74" s="6" t="s">
        <v>284</v>
      </c>
      <c r="L74" s="7" t="s">
        <v>49</v>
      </c>
      <c r="M74" s="7" t="s">
        <v>100</v>
      </c>
      <c r="N74" s="7" t="s">
        <v>101</v>
      </c>
      <c r="O74" s="7" t="s">
        <v>285</v>
      </c>
      <c r="P74" s="6" t="s">
        <v>286</v>
      </c>
      <c r="Q74" s="6" t="s">
        <v>287</v>
      </c>
      <c r="R74" s="8" t="s">
        <v>506</v>
      </c>
      <c r="S74" s="8" t="s">
        <v>569</v>
      </c>
    </row>
    <row r="75" spans="1:19" ht="45.6" x14ac:dyDescent="0.3">
      <c r="A75" s="5" t="s">
        <v>354</v>
      </c>
      <c r="B75" s="6" t="s">
        <v>276</v>
      </c>
      <c r="C75" s="6" t="s">
        <v>277</v>
      </c>
      <c r="D75" s="6" t="s">
        <v>355</v>
      </c>
      <c r="E75" s="6" t="s">
        <v>356</v>
      </c>
      <c r="F75" s="6" t="s">
        <v>280</v>
      </c>
      <c r="G75" s="6" t="s">
        <v>281</v>
      </c>
      <c r="H75" s="6" t="s">
        <v>185</v>
      </c>
      <c r="I75" s="6" t="s">
        <v>282</v>
      </c>
      <c r="J75" s="6" t="s">
        <v>283</v>
      </c>
      <c r="K75" s="6" t="s">
        <v>284</v>
      </c>
      <c r="L75" s="7" t="s">
        <v>49</v>
      </c>
      <c r="M75" s="7" t="s">
        <v>100</v>
      </c>
      <c r="N75" s="7" t="s">
        <v>101</v>
      </c>
      <c r="O75" s="7" t="s">
        <v>285</v>
      </c>
      <c r="P75" s="6" t="s">
        <v>286</v>
      </c>
      <c r="Q75" s="6" t="s">
        <v>287</v>
      </c>
      <c r="R75" s="8" t="s">
        <v>506</v>
      </c>
      <c r="S75" s="8" t="s">
        <v>569</v>
      </c>
    </row>
    <row r="76" spans="1:19" ht="45.6" x14ac:dyDescent="0.3">
      <c r="A76" s="5" t="s">
        <v>357</v>
      </c>
      <c r="B76" s="6" t="s">
        <v>276</v>
      </c>
      <c r="C76" s="6" t="s">
        <v>277</v>
      </c>
      <c r="D76" s="6" t="s">
        <v>358</v>
      </c>
      <c r="E76" s="6" t="s">
        <v>359</v>
      </c>
      <c r="F76" s="6" t="s">
        <v>280</v>
      </c>
      <c r="G76" s="6" t="s">
        <v>281</v>
      </c>
      <c r="H76" s="6" t="s">
        <v>185</v>
      </c>
      <c r="I76" s="6" t="s">
        <v>282</v>
      </c>
      <c r="J76" s="6" t="s">
        <v>283</v>
      </c>
      <c r="K76" s="6" t="s">
        <v>284</v>
      </c>
      <c r="L76" s="7" t="s">
        <v>49</v>
      </c>
      <c r="M76" s="7" t="s">
        <v>100</v>
      </c>
      <c r="N76" s="7" t="s">
        <v>101</v>
      </c>
      <c r="O76" s="7" t="s">
        <v>285</v>
      </c>
      <c r="P76" s="6" t="s">
        <v>286</v>
      </c>
      <c r="Q76" s="6" t="s">
        <v>287</v>
      </c>
      <c r="R76" s="8" t="s">
        <v>506</v>
      </c>
      <c r="S76" s="8" t="s">
        <v>569</v>
      </c>
    </row>
    <row r="77" spans="1:19" ht="45.6" x14ac:dyDescent="0.3">
      <c r="A77" s="5" t="s">
        <v>360</v>
      </c>
      <c r="B77" s="6" t="s">
        <v>361</v>
      </c>
      <c r="C77" s="6" t="s">
        <v>362</v>
      </c>
      <c r="D77" s="6" t="s">
        <v>363</v>
      </c>
      <c r="E77" s="6" t="s">
        <v>364</v>
      </c>
      <c r="F77" s="6" t="s">
        <v>365</v>
      </c>
      <c r="G77" s="6" t="s">
        <v>366</v>
      </c>
      <c r="H77" s="6" t="s">
        <v>367</v>
      </c>
      <c r="I77" s="6" t="s">
        <v>368</v>
      </c>
      <c r="J77" s="6" t="s">
        <v>369</v>
      </c>
      <c r="K77" s="6" t="s">
        <v>370</v>
      </c>
      <c r="L77" s="7" t="s">
        <v>49</v>
      </c>
      <c r="M77" s="7" t="s">
        <v>100</v>
      </c>
      <c r="N77" s="7" t="s">
        <v>101</v>
      </c>
      <c r="O77" s="7" t="s">
        <v>371</v>
      </c>
      <c r="P77" s="6" t="s">
        <v>372</v>
      </c>
      <c r="Q77" s="6" t="s">
        <v>373</v>
      </c>
      <c r="R77" s="8" t="s">
        <v>506</v>
      </c>
      <c r="S77" s="8" t="s">
        <v>570</v>
      </c>
    </row>
    <row r="78" spans="1:19" ht="45.6" x14ac:dyDescent="0.3">
      <c r="A78" s="5" t="s">
        <v>374</v>
      </c>
      <c r="B78" s="6" t="s">
        <v>361</v>
      </c>
      <c r="C78" s="6" t="s">
        <v>362</v>
      </c>
      <c r="D78" s="6" t="s">
        <v>375</v>
      </c>
      <c r="E78" s="6" t="s">
        <v>376</v>
      </c>
      <c r="F78" s="6" t="s">
        <v>377</v>
      </c>
      <c r="G78" s="6" t="s">
        <v>378</v>
      </c>
      <c r="H78" s="6" t="s">
        <v>379</v>
      </c>
      <c r="I78" s="6" t="s">
        <v>380</v>
      </c>
      <c r="J78" s="6" t="s">
        <v>369</v>
      </c>
      <c r="K78" s="6" t="s">
        <v>370</v>
      </c>
      <c r="L78" s="7" t="s">
        <v>49</v>
      </c>
      <c r="M78" s="7" t="s">
        <v>100</v>
      </c>
      <c r="N78" s="7" t="s">
        <v>101</v>
      </c>
      <c r="O78" s="7" t="s">
        <v>101</v>
      </c>
      <c r="P78" s="6" t="s">
        <v>372</v>
      </c>
      <c r="Q78" s="6" t="s">
        <v>373</v>
      </c>
      <c r="R78" s="8" t="s">
        <v>506</v>
      </c>
      <c r="S78" s="8" t="s">
        <v>571</v>
      </c>
    </row>
    <row r="79" spans="1:19" ht="45.6" x14ac:dyDescent="0.3">
      <c r="A79" s="5" t="s">
        <v>381</v>
      </c>
      <c r="B79" s="6" t="s">
        <v>361</v>
      </c>
      <c r="C79" s="6" t="s">
        <v>362</v>
      </c>
      <c r="D79" s="6" t="s">
        <v>382</v>
      </c>
      <c r="E79" s="6" t="s">
        <v>383</v>
      </c>
      <c r="F79" s="6" t="s">
        <v>384</v>
      </c>
      <c r="G79" s="6" t="s">
        <v>385</v>
      </c>
      <c r="H79" s="6" t="s">
        <v>367</v>
      </c>
      <c r="I79" s="6" t="s">
        <v>386</v>
      </c>
      <c r="J79" s="6" t="s">
        <v>369</v>
      </c>
      <c r="K79" s="6" t="s">
        <v>370</v>
      </c>
      <c r="L79" s="7" t="s">
        <v>49</v>
      </c>
      <c r="M79" s="7" t="s">
        <v>100</v>
      </c>
      <c r="N79" s="7" t="s">
        <v>101</v>
      </c>
      <c r="O79" s="7" t="s">
        <v>371</v>
      </c>
      <c r="P79" s="6" t="s">
        <v>372</v>
      </c>
      <c r="Q79" s="6" t="s">
        <v>373</v>
      </c>
      <c r="R79" s="8" t="s">
        <v>506</v>
      </c>
      <c r="S79" s="8" t="s">
        <v>572</v>
      </c>
    </row>
    <row r="80" spans="1:19" ht="45.6" x14ac:dyDescent="0.3">
      <c r="A80" s="5" t="s">
        <v>387</v>
      </c>
      <c r="B80" s="6" t="s">
        <v>361</v>
      </c>
      <c r="C80" s="6" t="s">
        <v>362</v>
      </c>
      <c r="D80" s="6" t="s">
        <v>388</v>
      </c>
      <c r="E80" s="6" t="s">
        <v>389</v>
      </c>
      <c r="F80" s="6" t="s">
        <v>377</v>
      </c>
      <c r="G80" s="6" t="s">
        <v>378</v>
      </c>
      <c r="H80" s="6" t="s">
        <v>390</v>
      </c>
      <c r="I80" s="6" t="s">
        <v>380</v>
      </c>
      <c r="J80" s="6" t="s">
        <v>369</v>
      </c>
      <c r="K80" s="6" t="s">
        <v>370</v>
      </c>
      <c r="L80" s="7" t="s">
        <v>49</v>
      </c>
      <c r="M80" s="7" t="s">
        <v>100</v>
      </c>
      <c r="N80" s="7" t="s">
        <v>101</v>
      </c>
      <c r="O80" s="7" t="s">
        <v>101</v>
      </c>
      <c r="P80" s="6" t="s">
        <v>372</v>
      </c>
      <c r="Q80" s="6" t="s">
        <v>373</v>
      </c>
      <c r="R80" s="8" t="s">
        <v>506</v>
      </c>
      <c r="S80" s="8" t="s">
        <v>573</v>
      </c>
    </row>
    <row r="81" spans="1:19" ht="45.6" x14ac:dyDescent="0.3">
      <c r="A81" s="5" t="s">
        <v>391</v>
      </c>
      <c r="B81" s="6" t="s">
        <v>361</v>
      </c>
      <c r="C81" s="6" t="s">
        <v>362</v>
      </c>
      <c r="D81" s="6" t="s">
        <v>392</v>
      </c>
      <c r="E81" s="6" t="s">
        <v>393</v>
      </c>
      <c r="F81" s="6" t="s">
        <v>377</v>
      </c>
      <c r="G81" s="6" t="s">
        <v>378</v>
      </c>
      <c r="H81" s="6" t="s">
        <v>390</v>
      </c>
      <c r="I81" s="6" t="s">
        <v>380</v>
      </c>
      <c r="J81" s="6" t="s">
        <v>369</v>
      </c>
      <c r="K81" s="6" t="s">
        <v>370</v>
      </c>
      <c r="L81" s="7" t="s">
        <v>49</v>
      </c>
      <c r="M81" s="7" t="s">
        <v>100</v>
      </c>
      <c r="N81" s="7" t="s">
        <v>101</v>
      </c>
      <c r="O81" s="7" t="s">
        <v>101</v>
      </c>
      <c r="P81" s="6" t="s">
        <v>372</v>
      </c>
      <c r="Q81" s="6" t="s">
        <v>373</v>
      </c>
      <c r="R81" s="8" t="s">
        <v>506</v>
      </c>
      <c r="S81" s="8" t="s">
        <v>574</v>
      </c>
    </row>
    <row r="82" spans="1:19" ht="45.6" x14ac:dyDescent="0.3">
      <c r="A82" s="5" t="s">
        <v>394</v>
      </c>
      <c r="B82" s="6" t="s">
        <v>361</v>
      </c>
      <c r="C82" s="6" t="s">
        <v>395</v>
      </c>
      <c r="D82" s="6" t="s">
        <v>396</v>
      </c>
      <c r="E82" s="6" t="s">
        <v>397</v>
      </c>
      <c r="F82" s="6" t="s">
        <v>365</v>
      </c>
      <c r="G82" s="6" t="s">
        <v>398</v>
      </c>
      <c r="H82" s="6" t="s">
        <v>367</v>
      </c>
      <c r="I82" s="6" t="s">
        <v>399</v>
      </c>
      <c r="J82" s="6" t="s">
        <v>369</v>
      </c>
      <c r="K82" s="6" t="s">
        <v>370</v>
      </c>
      <c r="L82" s="7" t="s">
        <v>49</v>
      </c>
      <c r="M82" s="7" t="s">
        <v>50</v>
      </c>
      <c r="N82" s="7" t="s">
        <v>400</v>
      </c>
      <c r="O82" s="7" t="s">
        <v>371</v>
      </c>
      <c r="P82" s="6" t="s">
        <v>372</v>
      </c>
      <c r="Q82" s="6" t="s">
        <v>373</v>
      </c>
      <c r="R82" s="8" t="s">
        <v>506</v>
      </c>
      <c r="S82" s="8" t="s">
        <v>575</v>
      </c>
    </row>
    <row r="83" spans="1:19" ht="45.6" x14ac:dyDescent="0.3">
      <c r="A83" s="5" t="s">
        <v>401</v>
      </c>
      <c r="B83" s="6" t="s">
        <v>361</v>
      </c>
      <c r="C83" s="6" t="s">
        <v>395</v>
      </c>
      <c r="D83" s="6" t="s">
        <v>402</v>
      </c>
      <c r="E83" s="6" t="s">
        <v>403</v>
      </c>
      <c r="F83" s="6" t="s">
        <v>377</v>
      </c>
      <c r="G83" s="6" t="s">
        <v>404</v>
      </c>
      <c r="H83" s="6" t="s">
        <v>405</v>
      </c>
      <c r="I83" s="6" t="s">
        <v>406</v>
      </c>
      <c r="J83" s="6" t="s">
        <v>369</v>
      </c>
      <c r="K83" s="6" t="s">
        <v>370</v>
      </c>
      <c r="L83" s="7" t="s">
        <v>49</v>
      </c>
      <c r="M83" s="7" t="s">
        <v>50</v>
      </c>
      <c r="N83" s="7" t="s">
        <v>400</v>
      </c>
      <c r="O83" s="7" t="s">
        <v>101</v>
      </c>
      <c r="P83" s="6" t="s">
        <v>372</v>
      </c>
      <c r="Q83" s="6" t="s">
        <v>373</v>
      </c>
      <c r="R83" s="8" t="s">
        <v>506</v>
      </c>
      <c r="S83" s="8" t="s">
        <v>576</v>
      </c>
    </row>
    <row r="84" spans="1:19" ht="45.6" x14ac:dyDescent="0.3">
      <c r="A84" s="5" t="s">
        <v>407</v>
      </c>
      <c r="B84" s="6" t="s">
        <v>361</v>
      </c>
      <c r="C84" s="6" t="s">
        <v>395</v>
      </c>
      <c r="D84" s="6" t="s">
        <v>408</v>
      </c>
      <c r="E84" s="6" t="s">
        <v>409</v>
      </c>
      <c r="F84" s="6" t="s">
        <v>365</v>
      </c>
      <c r="G84" s="6" t="s">
        <v>410</v>
      </c>
      <c r="H84" s="6" t="s">
        <v>367</v>
      </c>
      <c r="I84" s="6" t="s">
        <v>399</v>
      </c>
      <c r="J84" s="6" t="s">
        <v>369</v>
      </c>
      <c r="K84" s="6" t="s">
        <v>370</v>
      </c>
      <c r="L84" s="7" t="s">
        <v>49</v>
      </c>
      <c r="M84" s="7" t="s">
        <v>50</v>
      </c>
      <c r="N84" s="7" t="s">
        <v>400</v>
      </c>
      <c r="O84" s="7" t="s">
        <v>371</v>
      </c>
      <c r="P84" s="6" t="s">
        <v>372</v>
      </c>
      <c r="Q84" s="6" t="s">
        <v>373</v>
      </c>
      <c r="R84" s="8" t="s">
        <v>506</v>
      </c>
      <c r="S84" s="8" t="s">
        <v>577</v>
      </c>
    </row>
    <row r="85" spans="1:19" ht="45.6" x14ac:dyDescent="0.3">
      <c r="A85" s="5" t="s">
        <v>411</v>
      </c>
      <c r="B85" s="6" t="s">
        <v>361</v>
      </c>
      <c r="C85" s="6" t="s">
        <v>395</v>
      </c>
      <c r="D85" s="6" t="s">
        <v>412</v>
      </c>
      <c r="E85" s="6" t="s">
        <v>413</v>
      </c>
      <c r="F85" s="6" t="s">
        <v>365</v>
      </c>
      <c r="G85" s="6" t="s">
        <v>414</v>
      </c>
      <c r="H85" s="6" t="s">
        <v>415</v>
      </c>
      <c r="I85" s="6" t="s">
        <v>406</v>
      </c>
      <c r="J85" s="6" t="s">
        <v>369</v>
      </c>
      <c r="K85" s="6" t="s">
        <v>370</v>
      </c>
      <c r="L85" s="7" t="s">
        <v>49</v>
      </c>
      <c r="M85" s="7" t="s">
        <v>50</v>
      </c>
      <c r="N85" s="7" t="s">
        <v>416</v>
      </c>
      <c r="O85" s="7" t="s">
        <v>101</v>
      </c>
      <c r="P85" s="6" t="s">
        <v>372</v>
      </c>
      <c r="Q85" s="6" t="s">
        <v>373</v>
      </c>
      <c r="R85" s="8" t="s">
        <v>506</v>
      </c>
      <c r="S85" s="8" t="s">
        <v>578</v>
      </c>
    </row>
    <row r="86" spans="1:19" ht="45.6" x14ac:dyDescent="0.3">
      <c r="A86" s="5" t="s">
        <v>417</v>
      </c>
      <c r="B86" s="6" t="s">
        <v>361</v>
      </c>
      <c r="C86" s="6" t="s">
        <v>395</v>
      </c>
      <c r="D86" s="6" t="s">
        <v>418</v>
      </c>
      <c r="E86" s="6" t="s">
        <v>419</v>
      </c>
      <c r="F86" s="6" t="s">
        <v>377</v>
      </c>
      <c r="G86" s="6" t="s">
        <v>420</v>
      </c>
      <c r="H86" s="6" t="s">
        <v>421</v>
      </c>
      <c r="I86" s="6" t="s">
        <v>406</v>
      </c>
      <c r="J86" s="6" t="s">
        <v>369</v>
      </c>
      <c r="K86" s="6" t="s">
        <v>370</v>
      </c>
      <c r="L86" s="7" t="s">
        <v>49</v>
      </c>
      <c r="M86" s="7" t="s">
        <v>50</v>
      </c>
      <c r="N86" s="7" t="s">
        <v>400</v>
      </c>
      <c r="O86" s="7" t="s">
        <v>101</v>
      </c>
      <c r="P86" s="6" t="s">
        <v>372</v>
      </c>
      <c r="Q86" s="6" t="s">
        <v>373</v>
      </c>
      <c r="R86" s="8" t="s">
        <v>506</v>
      </c>
      <c r="S86" s="8" t="s">
        <v>579</v>
      </c>
    </row>
    <row r="87" spans="1:19" ht="57" x14ac:dyDescent="0.3">
      <c r="A87" s="5" t="s">
        <v>422</v>
      </c>
      <c r="B87" s="6" t="s">
        <v>361</v>
      </c>
      <c r="C87" s="6" t="s">
        <v>423</v>
      </c>
      <c r="D87" s="6" t="s">
        <v>424</v>
      </c>
      <c r="E87" s="6" t="s">
        <v>425</v>
      </c>
      <c r="F87" s="6" t="s">
        <v>384</v>
      </c>
      <c r="G87" s="6" t="s">
        <v>426</v>
      </c>
      <c r="H87" s="6" t="s">
        <v>427</v>
      </c>
      <c r="I87" s="6" t="s">
        <v>428</v>
      </c>
      <c r="J87" s="6" t="s">
        <v>369</v>
      </c>
      <c r="K87" s="6" t="s">
        <v>370</v>
      </c>
      <c r="L87" s="7" t="s">
        <v>49</v>
      </c>
      <c r="M87" s="7" t="s">
        <v>50</v>
      </c>
      <c r="N87" s="7" t="s">
        <v>429</v>
      </c>
      <c r="O87" s="7" t="s">
        <v>101</v>
      </c>
      <c r="P87" s="6" t="s">
        <v>372</v>
      </c>
      <c r="Q87" s="6" t="s">
        <v>373</v>
      </c>
      <c r="R87" s="8" t="s">
        <v>506</v>
      </c>
      <c r="S87" s="8" t="s">
        <v>580</v>
      </c>
    </row>
    <row r="88" spans="1:19" ht="57" x14ac:dyDescent="0.3">
      <c r="A88" s="5" t="s">
        <v>430</v>
      </c>
      <c r="B88" s="6" t="s">
        <v>361</v>
      </c>
      <c r="C88" s="6" t="s">
        <v>423</v>
      </c>
      <c r="D88" s="6" t="s">
        <v>431</v>
      </c>
      <c r="E88" s="6" t="s">
        <v>432</v>
      </c>
      <c r="F88" s="6" t="s">
        <v>365</v>
      </c>
      <c r="G88" s="6" t="s">
        <v>433</v>
      </c>
      <c r="H88" s="6" t="s">
        <v>367</v>
      </c>
      <c r="I88" s="6" t="s">
        <v>434</v>
      </c>
      <c r="J88" s="6" t="s">
        <v>369</v>
      </c>
      <c r="K88" s="6" t="s">
        <v>370</v>
      </c>
      <c r="L88" s="7" t="s">
        <v>49</v>
      </c>
      <c r="M88" s="7" t="s">
        <v>50</v>
      </c>
      <c r="N88" s="7" t="s">
        <v>429</v>
      </c>
      <c r="O88" s="7" t="s">
        <v>371</v>
      </c>
      <c r="P88" s="6" t="s">
        <v>372</v>
      </c>
      <c r="Q88" s="6" t="s">
        <v>373</v>
      </c>
      <c r="R88" s="8" t="s">
        <v>506</v>
      </c>
      <c r="S88" s="8" t="s">
        <v>581</v>
      </c>
    </row>
    <row r="89" spans="1:19" ht="57" x14ac:dyDescent="0.3">
      <c r="A89" s="5" t="s">
        <v>435</v>
      </c>
      <c r="B89" s="6" t="s">
        <v>361</v>
      </c>
      <c r="C89" s="6" t="s">
        <v>423</v>
      </c>
      <c r="D89" s="6" t="s">
        <v>436</v>
      </c>
      <c r="E89" s="6" t="s">
        <v>437</v>
      </c>
      <c r="F89" s="6" t="s">
        <v>377</v>
      </c>
      <c r="G89" s="6" t="s">
        <v>438</v>
      </c>
      <c r="H89" s="6" t="s">
        <v>439</v>
      </c>
      <c r="I89" s="6" t="s">
        <v>440</v>
      </c>
      <c r="J89" s="6" t="s">
        <v>369</v>
      </c>
      <c r="K89" s="6" t="s">
        <v>370</v>
      </c>
      <c r="L89" s="7" t="s">
        <v>49</v>
      </c>
      <c r="M89" s="7" t="s">
        <v>50</v>
      </c>
      <c r="N89" s="7" t="s">
        <v>429</v>
      </c>
      <c r="O89" s="7" t="s">
        <v>101</v>
      </c>
      <c r="P89" s="6" t="s">
        <v>372</v>
      </c>
      <c r="Q89" s="6" t="s">
        <v>373</v>
      </c>
      <c r="R89" s="8" t="s">
        <v>506</v>
      </c>
      <c r="S89" s="8" t="s">
        <v>582</v>
      </c>
    </row>
    <row r="90" spans="1:19" ht="57" x14ac:dyDescent="0.3">
      <c r="A90" s="5" t="s">
        <v>441</v>
      </c>
      <c r="B90" s="6" t="s">
        <v>361</v>
      </c>
      <c r="C90" s="6" t="s">
        <v>423</v>
      </c>
      <c r="D90" s="6" t="s">
        <v>442</v>
      </c>
      <c r="E90" s="6" t="s">
        <v>443</v>
      </c>
      <c r="F90" s="6" t="s">
        <v>365</v>
      </c>
      <c r="G90" s="6" t="s">
        <v>444</v>
      </c>
      <c r="H90" s="6" t="s">
        <v>367</v>
      </c>
      <c r="I90" s="6" t="s">
        <v>434</v>
      </c>
      <c r="J90" s="6" t="s">
        <v>369</v>
      </c>
      <c r="K90" s="6" t="s">
        <v>370</v>
      </c>
      <c r="L90" s="7" t="s">
        <v>49</v>
      </c>
      <c r="M90" s="7" t="s">
        <v>50</v>
      </c>
      <c r="N90" s="7" t="s">
        <v>429</v>
      </c>
      <c r="O90" s="7" t="s">
        <v>371</v>
      </c>
      <c r="P90" s="6" t="s">
        <v>372</v>
      </c>
      <c r="Q90" s="6" t="s">
        <v>373</v>
      </c>
      <c r="R90" s="8" t="s">
        <v>506</v>
      </c>
      <c r="S90" s="8" t="s">
        <v>583</v>
      </c>
    </row>
    <row r="91" spans="1:19" ht="57" x14ac:dyDescent="0.3">
      <c r="A91" s="5" t="s">
        <v>445</v>
      </c>
      <c r="B91" s="6" t="s">
        <v>361</v>
      </c>
      <c r="C91" s="6" t="s">
        <v>423</v>
      </c>
      <c r="D91" s="6" t="s">
        <v>446</v>
      </c>
      <c r="E91" s="6" t="s">
        <v>447</v>
      </c>
      <c r="F91" s="6" t="s">
        <v>365</v>
      </c>
      <c r="G91" s="6" t="s">
        <v>448</v>
      </c>
      <c r="H91" s="6" t="s">
        <v>367</v>
      </c>
      <c r="I91" s="6" t="s">
        <v>434</v>
      </c>
      <c r="J91" s="6" t="s">
        <v>369</v>
      </c>
      <c r="K91" s="6" t="s">
        <v>370</v>
      </c>
      <c r="L91" s="7" t="s">
        <v>49</v>
      </c>
      <c r="M91" s="7" t="s">
        <v>50</v>
      </c>
      <c r="N91" s="7" t="s">
        <v>429</v>
      </c>
      <c r="O91" s="7" t="s">
        <v>371</v>
      </c>
      <c r="P91" s="6" t="s">
        <v>372</v>
      </c>
      <c r="Q91" s="6" t="s">
        <v>373</v>
      </c>
      <c r="R91" s="8" t="s">
        <v>506</v>
      </c>
      <c r="S91" s="8" t="s">
        <v>584</v>
      </c>
    </row>
    <row r="92" spans="1:19" ht="45.6" x14ac:dyDescent="0.3">
      <c r="A92" s="5" t="s">
        <v>449</v>
      </c>
      <c r="B92" s="6" t="s">
        <v>361</v>
      </c>
      <c r="C92" s="6" t="s">
        <v>450</v>
      </c>
      <c r="D92" s="6" t="s">
        <v>451</v>
      </c>
      <c r="E92" s="6" t="s">
        <v>452</v>
      </c>
      <c r="F92" s="6" t="s">
        <v>453</v>
      </c>
      <c r="G92" s="6" t="s">
        <v>454</v>
      </c>
      <c r="H92" s="6" t="s">
        <v>185</v>
      </c>
      <c r="I92" s="6" t="s">
        <v>368</v>
      </c>
      <c r="J92" s="6" t="s">
        <v>369</v>
      </c>
      <c r="K92" s="6" t="s">
        <v>370</v>
      </c>
      <c r="L92" s="7" t="s">
        <v>49</v>
      </c>
      <c r="M92" s="7" t="s">
        <v>50</v>
      </c>
      <c r="N92" s="7" t="s">
        <v>455</v>
      </c>
      <c r="O92" s="7" t="s">
        <v>371</v>
      </c>
      <c r="P92" s="6" t="s">
        <v>372</v>
      </c>
      <c r="Q92" s="6" t="s">
        <v>373</v>
      </c>
      <c r="R92" s="8" t="s">
        <v>506</v>
      </c>
      <c r="S92" s="8" t="s">
        <v>585</v>
      </c>
    </row>
    <row r="93" spans="1:19" ht="45.6" x14ac:dyDescent="0.3">
      <c r="A93" s="5" t="s">
        <v>456</v>
      </c>
      <c r="B93" s="6" t="s">
        <v>361</v>
      </c>
      <c r="C93" s="6" t="s">
        <v>450</v>
      </c>
      <c r="D93" s="6" t="s">
        <v>457</v>
      </c>
      <c r="E93" s="6" t="s">
        <v>458</v>
      </c>
      <c r="F93" s="6" t="s">
        <v>453</v>
      </c>
      <c r="G93" s="6" t="s">
        <v>459</v>
      </c>
      <c r="H93" s="6" t="s">
        <v>185</v>
      </c>
      <c r="I93" s="6" t="s">
        <v>368</v>
      </c>
      <c r="J93" s="6" t="s">
        <v>369</v>
      </c>
      <c r="K93" s="6" t="s">
        <v>370</v>
      </c>
      <c r="L93" s="7" t="s">
        <v>49</v>
      </c>
      <c r="M93" s="7" t="s">
        <v>50</v>
      </c>
      <c r="N93" s="7" t="s">
        <v>455</v>
      </c>
      <c r="O93" s="7" t="s">
        <v>371</v>
      </c>
      <c r="P93" s="6" t="s">
        <v>372</v>
      </c>
      <c r="Q93" s="6" t="s">
        <v>373</v>
      </c>
      <c r="R93" s="8" t="s">
        <v>506</v>
      </c>
      <c r="S93" s="8" t="s">
        <v>585</v>
      </c>
    </row>
    <row r="94" spans="1:19" ht="45.6" x14ac:dyDescent="0.3">
      <c r="A94" s="5" t="s">
        <v>460</v>
      </c>
      <c r="B94" s="6" t="s">
        <v>361</v>
      </c>
      <c r="C94" s="6" t="s">
        <v>450</v>
      </c>
      <c r="D94" s="6" t="s">
        <v>461</v>
      </c>
      <c r="E94" s="6" t="s">
        <v>462</v>
      </c>
      <c r="F94" s="6" t="s">
        <v>453</v>
      </c>
      <c r="G94" s="6" t="s">
        <v>463</v>
      </c>
      <c r="H94" s="6" t="s">
        <v>185</v>
      </c>
      <c r="I94" s="6" t="s">
        <v>464</v>
      </c>
      <c r="J94" s="6" t="s">
        <v>369</v>
      </c>
      <c r="K94" s="6" t="s">
        <v>370</v>
      </c>
      <c r="L94" s="7" t="s">
        <v>49</v>
      </c>
      <c r="M94" s="7" t="s">
        <v>50</v>
      </c>
      <c r="N94" s="7" t="s">
        <v>455</v>
      </c>
      <c r="O94" s="7" t="s">
        <v>371</v>
      </c>
      <c r="P94" s="6" t="s">
        <v>372</v>
      </c>
      <c r="Q94" s="6" t="s">
        <v>373</v>
      </c>
      <c r="R94" s="8" t="s">
        <v>506</v>
      </c>
      <c r="S94" s="8" t="s">
        <v>586</v>
      </c>
    </row>
    <row r="95" spans="1:19" ht="45.6" x14ac:dyDescent="0.3">
      <c r="A95" s="5" t="s">
        <v>465</v>
      </c>
      <c r="B95" s="6" t="s">
        <v>361</v>
      </c>
      <c r="C95" s="6" t="s">
        <v>450</v>
      </c>
      <c r="D95" s="6" t="s">
        <v>466</v>
      </c>
      <c r="E95" s="6" t="s">
        <v>467</v>
      </c>
      <c r="F95" s="6" t="s">
        <v>453</v>
      </c>
      <c r="G95" s="6" t="s">
        <v>468</v>
      </c>
      <c r="H95" s="6" t="s">
        <v>185</v>
      </c>
      <c r="I95" s="6" t="s">
        <v>464</v>
      </c>
      <c r="J95" s="6" t="s">
        <v>369</v>
      </c>
      <c r="K95" s="6" t="s">
        <v>370</v>
      </c>
      <c r="L95" s="7" t="s">
        <v>49</v>
      </c>
      <c r="M95" s="7" t="s">
        <v>50</v>
      </c>
      <c r="N95" s="7" t="s">
        <v>455</v>
      </c>
      <c r="O95" s="7" t="s">
        <v>371</v>
      </c>
      <c r="P95" s="6" t="s">
        <v>372</v>
      </c>
      <c r="Q95" s="6" t="s">
        <v>373</v>
      </c>
      <c r="R95" s="8" t="s">
        <v>506</v>
      </c>
      <c r="S95" s="8" t="s">
        <v>586</v>
      </c>
    </row>
    <row r="96" spans="1:19" ht="45.6" x14ac:dyDescent="0.3">
      <c r="A96" s="5" t="s">
        <v>469</v>
      </c>
      <c r="B96" s="6" t="s">
        <v>361</v>
      </c>
      <c r="C96" s="6" t="s">
        <v>450</v>
      </c>
      <c r="D96" s="6" t="s">
        <v>470</v>
      </c>
      <c r="E96" s="6" t="s">
        <v>471</v>
      </c>
      <c r="F96" s="6" t="s">
        <v>453</v>
      </c>
      <c r="G96" s="6" t="s">
        <v>472</v>
      </c>
      <c r="H96" s="6" t="s">
        <v>185</v>
      </c>
      <c r="I96" s="6" t="s">
        <v>464</v>
      </c>
      <c r="J96" s="6" t="s">
        <v>369</v>
      </c>
      <c r="K96" s="6" t="s">
        <v>370</v>
      </c>
      <c r="L96" s="7" t="s">
        <v>49</v>
      </c>
      <c r="M96" s="7" t="s">
        <v>50</v>
      </c>
      <c r="N96" s="7" t="s">
        <v>455</v>
      </c>
      <c r="O96" s="7" t="s">
        <v>371</v>
      </c>
      <c r="P96" s="6" t="s">
        <v>372</v>
      </c>
      <c r="Q96" s="6" t="s">
        <v>373</v>
      </c>
      <c r="R96" s="8" t="s">
        <v>506</v>
      </c>
      <c r="S96" s="8" t="s">
        <v>586</v>
      </c>
    </row>
    <row r="97" spans="1:19" ht="45.6" x14ac:dyDescent="0.3">
      <c r="A97" s="5" t="s">
        <v>473</v>
      </c>
      <c r="B97" s="6" t="s">
        <v>361</v>
      </c>
      <c r="C97" s="6" t="s">
        <v>474</v>
      </c>
      <c r="D97" s="6" t="s">
        <v>475</v>
      </c>
      <c r="E97" s="6" t="s">
        <v>476</v>
      </c>
      <c r="F97" s="6" t="s">
        <v>453</v>
      </c>
      <c r="G97" s="6" t="s">
        <v>477</v>
      </c>
      <c r="H97" s="6" t="s">
        <v>185</v>
      </c>
      <c r="I97" s="6" t="s">
        <v>399</v>
      </c>
      <c r="J97" s="6" t="s">
        <v>369</v>
      </c>
      <c r="K97" s="6" t="s">
        <v>370</v>
      </c>
      <c r="L97" s="7" t="s">
        <v>49</v>
      </c>
      <c r="M97" s="7" t="s">
        <v>50</v>
      </c>
      <c r="N97" s="7" t="s">
        <v>478</v>
      </c>
      <c r="O97" s="7" t="s">
        <v>371</v>
      </c>
      <c r="P97" s="6" t="s">
        <v>372</v>
      </c>
      <c r="Q97" s="6" t="s">
        <v>373</v>
      </c>
      <c r="R97" s="8" t="s">
        <v>506</v>
      </c>
      <c r="S97" s="8" t="s">
        <v>587</v>
      </c>
    </row>
    <row r="98" spans="1:19" ht="45.6" x14ac:dyDescent="0.3">
      <c r="A98" s="5" t="s">
        <v>479</v>
      </c>
      <c r="B98" s="6" t="s">
        <v>361</v>
      </c>
      <c r="C98" s="6" t="s">
        <v>474</v>
      </c>
      <c r="D98" s="6" t="s">
        <v>480</v>
      </c>
      <c r="E98" s="6" t="s">
        <v>481</v>
      </c>
      <c r="F98" s="6" t="s">
        <v>453</v>
      </c>
      <c r="G98" s="6" t="s">
        <v>482</v>
      </c>
      <c r="H98" s="6" t="s">
        <v>185</v>
      </c>
      <c r="I98" s="6" t="s">
        <v>399</v>
      </c>
      <c r="J98" s="6" t="s">
        <v>369</v>
      </c>
      <c r="K98" s="6" t="s">
        <v>370</v>
      </c>
      <c r="L98" s="7" t="s">
        <v>49</v>
      </c>
      <c r="M98" s="7" t="s">
        <v>50</v>
      </c>
      <c r="N98" s="7" t="s">
        <v>478</v>
      </c>
      <c r="O98" s="7" t="s">
        <v>371</v>
      </c>
      <c r="P98" s="6" t="s">
        <v>372</v>
      </c>
      <c r="Q98" s="6" t="s">
        <v>373</v>
      </c>
      <c r="R98" s="8" t="s">
        <v>506</v>
      </c>
      <c r="S98" s="8" t="s">
        <v>587</v>
      </c>
    </row>
    <row r="99" spans="1:19" ht="45.6" x14ac:dyDescent="0.3">
      <c r="A99" s="5" t="s">
        <v>483</v>
      </c>
      <c r="B99" s="6" t="s">
        <v>361</v>
      </c>
      <c r="C99" s="6" t="s">
        <v>474</v>
      </c>
      <c r="D99" s="6" t="s">
        <v>484</v>
      </c>
      <c r="E99" s="6" t="s">
        <v>485</v>
      </c>
      <c r="F99" s="6" t="s">
        <v>453</v>
      </c>
      <c r="G99" s="6" t="s">
        <v>486</v>
      </c>
      <c r="H99" s="6" t="s">
        <v>185</v>
      </c>
      <c r="I99" s="6" t="s">
        <v>399</v>
      </c>
      <c r="J99" s="6" t="s">
        <v>369</v>
      </c>
      <c r="K99" s="6" t="s">
        <v>370</v>
      </c>
      <c r="L99" s="7" t="s">
        <v>49</v>
      </c>
      <c r="M99" s="7" t="s">
        <v>50</v>
      </c>
      <c r="N99" s="7" t="s">
        <v>478</v>
      </c>
      <c r="O99" s="7" t="s">
        <v>371</v>
      </c>
      <c r="P99" s="6" t="s">
        <v>372</v>
      </c>
      <c r="Q99" s="6" t="s">
        <v>373</v>
      </c>
      <c r="R99" s="8" t="s">
        <v>506</v>
      </c>
      <c r="S99" s="8" t="s">
        <v>587</v>
      </c>
    </row>
    <row r="100" spans="1:19" ht="45.6" x14ac:dyDescent="0.3">
      <c r="A100" s="5" t="s">
        <v>487</v>
      </c>
      <c r="B100" s="6" t="s">
        <v>361</v>
      </c>
      <c r="C100" s="6" t="s">
        <v>474</v>
      </c>
      <c r="D100" s="6" t="s">
        <v>488</v>
      </c>
      <c r="E100" s="6" t="s">
        <v>489</v>
      </c>
      <c r="F100" s="6" t="s">
        <v>453</v>
      </c>
      <c r="G100" s="6" t="s">
        <v>490</v>
      </c>
      <c r="H100" s="6" t="s">
        <v>185</v>
      </c>
      <c r="I100" s="6" t="s">
        <v>399</v>
      </c>
      <c r="J100" s="6" t="s">
        <v>369</v>
      </c>
      <c r="K100" s="6" t="s">
        <v>370</v>
      </c>
      <c r="L100" s="7" t="s">
        <v>49</v>
      </c>
      <c r="M100" s="7" t="s">
        <v>50</v>
      </c>
      <c r="N100" s="7" t="s">
        <v>478</v>
      </c>
      <c r="O100" s="7" t="s">
        <v>371</v>
      </c>
      <c r="P100" s="6" t="s">
        <v>372</v>
      </c>
      <c r="Q100" s="6" t="s">
        <v>373</v>
      </c>
      <c r="R100" s="8" t="s">
        <v>506</v>
      </c>
      <c r="S100" s="8" t="s">
        <v>587</v>
      </c>
    </row>
    <row r="101" spans="1:19" ht="45.6" x14ac:dyDescent="0.3">
      <c r="A101" s="5" t="s">
        <v>491</v>
      </c>
      <c r="B101" s="6" t="s">
        <v>361</v>
      </c>
      <c r="C101" s="6" t="s">
        <v>474</v>
      </c>
      <c r="D101" s="6" t="s">
        <v>492</v>
      </c>
      <c r="E101" s="6" t="s">
        <v>493</v>
      </c>
      <c r="F101" s="6" t="s">
        <v>453</v>
      </c>
      <c r="G101" s="6" t="s">
        <v>494</v>
      </c>
      <c r="H101" s="6" t="s">
        <v>185</v>
      </c>
      <c r="I101" s="6" t="s">
        <v>399</v>
      </c>
      <c r="J101" s="6" t="s">
        <v>369</v>
      </c>
      <c r="K101" s="6" t="s">
        <v>370</v>
      </c>
      <c r="L101" s="7" t="s">
        <v>49</v>
      </c>
      <c r="M101" s="7" t="s">
        <v>50</v>
      </c>
      <c r="N101" s="7" t="s">
        <v>478</v>
      </c>
      <c r="O101" s="7" t="s">
        <v>371</v>
      </c>
      <c r="P101" s="6" t="s">
        <v>372</v>
      </c>
      <c r="Q101" s="6" t="s">
        <v>373</v>
      </c>
      <c r="R101" s="8" t="s">
        <v>506</v>
      </c>
      <c r="S101" s="8" t="s">
        <v>588</v>
      </c>
    </row>
  </sheetData>
  <autoFilter ref="A1:S101" xr:uid="{00000000-0009-0000-0000-000001000000}"/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Geçersiz değer" error="Lütfen listedeki dört seçenekten birini seçin." promptTitle="Yazar değerlendirmesi" prompt="1–4 arasından seçin" xr:uid="{00000000-0002-0000-0100-000000000000}">
          <x14:formula1>
            <xm:f>Listeler!$A$1:$A$4</xm:f>
          </x14:formula1>
          <xm:sqref>R2:R101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"/>
  <sheetViews>
    <sheetView workbookViewId="0"/>
  </sheetViews>
  <sheetFormatPr defaultRowHeight="14.4" x14ac:dyDescent="0.3"/>
  <cols>
    <col min="1" max="1" width="22" customWidth="1"/>
    <col min="2" max="9" width="16" customWidth="1"/>
  </cols>
  <sheetData>
    <row r="1" spans="1:9" ht="24" x14ac:dyDescent="0.3">
      <c r="A1" s="4" t="s">
        <v>20</v>
      </c>
      <c r="B1" s="4" t="s">
        <v>495</v>
      </c>
      <c r="C1" s="4" t="s">
        <v>496</v>
      </c>
      <c r="D1" s="4" t="s">
        <v>497</v>
      </c>
      <c r="E1" s="4" t="s">
        <v>498</v>
      </c>
      <c r="F1" s="4" t="s">
        <v>499</v>
      </c>
      <c r="G1" s="4" t="s">
        <v>500</v>
      </c>
      <c r="H1" s="4" t="s">
        <v>501</v>
      </c>
      <c r="I1" s="4" t="s">
        <v>502</v>
      </c>
    </row>
    <row r="2" spans="1:9" x14ac:dyDescent="0.3">
      <c r="A2" s="9" t="s">
        <v>39</v>
      </c>
      <c r="B2" s="9">
        <f>COUNTIFS(İnceleme!$B$2:$B$101,$A2)</f>
        <v>25</v>
      </c>
      <c r="C2" s="9">
        <f>COUNTIFS(İnceleme!$B$2:$B$101,$A2,İnceleme!$L$2:$L$101,"Kurala uygun")</f>
        <v>25</v>
      </c>
      <c r="D2" s="9">
        <f>COUNTIFS(İnceleme!$B$2:$B$101,$A2,İnceleme!$M$2:$M$101,"Evet")</f>
        <v>19</v>
      </c>
      <c r="E2" s="9">
        <f>COUNTIFS(İnceleme!$B$2:$B$101,$A2,İnceleme!$R$2:$R$101,"1 - Mevcut metadata eşlemeyi destekliyor")</f>
        <v>0</v>
      </c>
      <c r="F2" s="9">
        <f>COUNTIFS(İnceleme!$B$2:$B$101,$A2,İnceleme!$R$2:$R$101,"2 - Eşleme kurala uygun, ancak gerçek DLP anlamı için bağlam yetersiz")</f>
        <v>25</v>
      </c>
      <c r="G2" s="9">
        <f>COUNTIFS(İnceleme!$B$2:$B$101,$A2,İnceleme!$R$2:$R$101,"3 - Eşleme hatalı")</f>
        <v>0</v>
      </c>
      <c r="H2" s="9">
        <f>COUNTIFS(İnceleme!$B$2:$B$101,$A2,İnceleme!$R$2:$R$101,"4 - Karar verilemedi")</f>
        <v>0</v>
      </c>
      <c r="I2" s="9">
        <f>B2-SUM(E2:H2)</f>
        <v>0</v>
      </c>
    </row>
    <row r="3" spans="1:9" x14ac:dyDescent="0.3">
      <c r="A3" s="9" t="s">
        <v>179</v>
      </c>
      <c r="B3" s="9">
        <f>COUNTIFS(İnceleme!$B$2:$B$101,$A3)</f>
        <v>25</v>
      </c>
      <c r="C3" s="9">
        <f>COUNTIFS(İnceleme!$B$2:$B$101,$A3,İnceleme!$L$2:$L$101,"Kurala uygun")</f>
        <v>25</v>
      </c>
      <c r="D3" s="9">
        <f>COUNTIFS(İnceleme!$B$2:$B$101,$A3,İnceleme!$M$2:$M$101,"Evet")</f>
        <v>0</v>
      </c>
      <c r="E3" s="9">
        <f>COUNTIFS(İnceleme!$B$2:$B$101,$A3,İnceleme!$R$2:$R$101,"1 - Mevcut metadata eşlemeyi destekliyor")</f>
        <v>0</v>
      </c>
      <c r="F3" s="9">
        <f>COUNTIFS(İnceleme!$B$2:$B$101,$A3,İnceleme!$R$2:$R$101,"2 - Eşleme kurala uygun, ancak gerçek DLP anlamı için bağlam yetersiz")</f>
        <v>25</v>
      </c>
      <c r="G3" s="9">
        <f>COUNTIFS(İnceleme!$B$2:$B$101,$A3,İnceleme!$R$2:$R$101,"3 - Eşleme hatalı")</f>
        <v>0</v>
      </c>
      <c r="H3" s="9">
        <f>COUNTIFS(İnceleme!$B$2:$B$101,$A3,İnceleme!$R$2:$R$101,"4 - Karar verilemedi")</f>
        <v>0</v>
      </c>
      <c r="I3" s="9">
        <f>B3-SUM(E3:H3)</f>
        <v>0</v>
      </c>
    </row>
    <row r="4" spans="1:9" x14ac:dyDescent="0.3">
      <c r="A4" s="9" t="s">
        <v>276</v>
      </c>
      <c r="B4" s="9">
        <f>COUNTIFS(İnceleme!$B$2:$B$101,$A4)</f>
        <v>25</v>
      </c>
      <c r="C4" s="9">
        <f>COUNTIFS(İnceleme!$B$2:$B$101,$A4,İnceleme!$L$2:$L$101,"Kurala uygun")</f>
        <v>25</v>
      </c>
      <c r="D4" s="9">
        <f>COUNTIFS(İnceleme!$B$2:$B$101,$A4,İnceleme!$M$2:$M$101,"Evet")</f>
        <v>0</v>
      </c>
      <c r="E4" s="9">
        <f>COUNTIFS(İnceleme!$B$2:$B$101,$A4,İnceleme!$R$2:$R$101,"1 - Mevcut metadata eşlemeyi destekliyor")</f>
        <v>0</v>
      </c>
      <c r="F4" s="9">
        <f>COUNTIFS(İnceleme!$B$2:$B$101,$A4,İnceleme!$R$2:$R$101,"2 - Eşleme kurala uygun, ancak gerçek DLP anlamı için bağlam yetersiz")</f>
        <v>25</v>
      </c>
      <c r="G4" s="9">
        <f>COUNTIFS(İnceleme!$B$2:$B$101,$A4,İnceleme!$R$2:$R$101,"3 - Eşleme hatalı")</f>
        <v>0</v>
      </c>
      <c r="H4" s="9">
        <f>COUNTIFS(İnceleme!$B$2:$B$101,$A4,İnceleme!$R$2:$R$101,"4 - Karar verilemedi")</f>
        <v>0</v>
      </c>
      <c r="I4" s="9">
        <f>B4-SUM(E4:H4)</f>
        <v>0</v>
      </c>
    </row>
    <row r="5" spans="1:9" x14ac:dyDescent="0.3">
      <c r="A5" s="9" t="s">
        <v>361</v>
      </c>
      <c r="B5" s="9">
        <f>COUNTIFS(İnceleme!$B$2:$B$101,$A5)</f>
        <v>25</v>
      </c>
      <c r="C5" s="9">
        <f>COUNTIFS(İnceleme!$B$2:$B$101,$A5,İnceleme!$L$2:$L$101,"Kurala uygun")</f>
        <v>25</v>
      </c>
      <c r="D5" s="9">
        <f>COUNTIFS(İnceleme!$B$2:$B$101,$A5,İnceleme!$M$2:$M$101,"Evet")</f>
        <v>20</v>
      </c>
      <c r="E5" s="9">
        <f>COUNTIFS(İnceleme!$B$2:$B$101,$A5,İnceleme!$R$2:$R$101,"1 - Mevcut metadata eşlemeyi destekliyor")</f>
        <v>0</v>
      </c>
      <c r="F5" s="9">
        <f>COUNTIFS(İnceleme!$B$2:$B$101,$A5,İnceleme!$R$2:$R$101,"2 - Eşleme kurala uygun, ancak gerçek DLP anlamı için bağlam yetersiz")</f>
        <v>25</v>
      </c>
      <c r="G5" s="9">
        <f>COUNTIFS(İnceleme!$B$2:$B$101,$A5,İnceleme!$R$2:$R$101,"3 - Eşleme hatalı")</f>
        <v>0</v>
      </c>
      <c r="H5" s="9">
        <f>COUNTIFS(İnceleme!$B$2:$B$101,$A5,İnceleme!$R$2:$R$101,"4 - Karar verilemedi")</f>
        <v>0</v>
      </c>
      <c r="I5" s="9">
        <f>B5-SUM(E5:H5)</f>
        <v>0</v>
      </c>
    </row>
    <row r="6" spans="1:9" x14ac:dyDescent="0.3">
      <c r="A6" s="10" t="s">
        <v>503</v>
      </c>
      <c r="B6" s="10">
        <f t="shared" ref="B6:I6" si="0">SUM(B2:B5)</f>
        <v>100</v>
      </c>
      <c r="C6" s="10">
        <f t="shared" si="0"/>
        <v>100</v>
      </c>
      <c r="D6" s="10">
        <f t="shared" si="0"/>
        <v>39</v>
      </c>
      <c r="E6" s="10">
        <f t="shared" si="0"/>
        <v>0</v>
      </c>
      <c r="F6" s="10">
        <f t="shared" si="0"/>
        <v>100</v>
      </c>
      <c r="G6" s="10">
        <f t="shared" si="0"/>
        <v>0</v>
      </c>
      <c r="H6" s="10">
        <f t="shared" si="0"/>
        <v>0</v>
      </c>
      <c r="I6" s="10">
        <f t="shared" si="0"/>
        <v>0</v>
      </c>
    </row>
    <row r="8" spans="1:9" x14ac:dyDescent="0.3">
      <c r="A8" s="11" t="s">
        <v>504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4"/>
  <sheetViews>
    <sheetView workbookViewId="0"/>
  </sheetViews>
  <sheetFormatPr defaultRowHeight="14.4" x14ac:dyDescent="0.3"/>
  <sheetData>
    <row r="1" spans="1:1" x14ac:dyDescent="0.3">
      <c r="A1" s="12" t="s">
        <v>505</v>
      </c>
    </row>
    <row r="2" spans="1:1" x14ac:dyDescent="0.3">
      <c r="A2" s="12" t="s">
        <v>506</v>
      </c>
    </row>
    <row r="3" spans="1:1" x14ac:dyDescent="0.3">
      <c r="A3" s="12" t="s">
        <v>507</v>
      </c>
    </row>
    <row r="4" spans="1:1" x14ac:dyDescent="0.3">
      <c r="A4" s="12" t="s">
        <v>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Açıklama</vt:lpstr>
      <vt:lpstr>İnceleme</vt:lpstr>
      <vt:lpstr>Özet</vt:lpstr>
      <vt:lpstr>Listeler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Fatih Kaplan</cp:lastModifiedBy>
  <dcterms:created xsi:type="dcterms:W3CDTF">2026-10-19T08:25:01Z</dcterms:created>
  <dcterms:modified xsi:type="dcterms:W3CDTF">2026-10-19T08:59:27Z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ocid">
    <vt:lpwstr>2d8040aa-652b-4d0f-b77d-33158546f573</vt:lpwstr>
  </property>
  <property fmtid="{D5CDD505-2E9C-101B-9397-08002B2CF9AE}" pid="3" name="ClassificationTagSetId">
    <vt:lpwstr>e16409a7-1700-4153-9090-3955bc2f0ae8</vt:lpwstr>
  </property>
  <property fmtid="{D5CDD505-2E9C-101B-9397-08002B2CF9AE}" pid="4" name="ComplianceTagSetId">
    <vt:lpwstr>f14fc1f1-8950-40d5-8a29-45909da947d6</vt:lpwstr>
  </property>
  <property fmtid="{D5CDD505-2E9C-101B-9397-08002B2CF9AE}" pid="5" name="FileId">
    <vt:lpwstr>2d8040aa-652b-4d0f-b77d-33158546f573</vt:lpwstr>
  </property>
  <property fmtid="{D5CDD505-2E9C-101B-9397-08002B2CF9AE}" pid="6" name="UserId">
    <vt:lpwstr>fatih.kaplan</vt:lpwstr>
  </property>
  <property fmtid="{D5CDD505-2E9C-101B-9397-08002B2CF9AE}" pid="7" name="TagDateTime">
    <vt:lpwstr>2026-10-19T08:30:10Z</vt:lpwstr>
  </property>
  <property fmtid="{D5CDD505-2E9C-101B-9397-08002B2CF9AE}" pid="8" name="GVData">
    <vt:lpwstr>eyJPUyI6IldpbmRvd3MiLCJkb2NJRCI6IjJkODA0MGFhLTY1MmItNGQwZi1iNzdkLTMzMTU4NTQ2ZjU3MyIsImRvY1N0YXRlIjoie30iLCJwYXJlbnRMaW5lSWRzIjoiW1wiYjA3Zjc1MWUtOWFjYy00ODkwLWEyZWQtZDk4YWE4YjIxMDEyXCJdIiwid3JpdHRlbktl</vt:lpwstr>
  </property>
  <property fmtid="{D5CDD505-2E9C-101B-9397-08002B2CF9AE}" pid="9" name="GVData0">
    <vt:lpwstr>eXMiOiJbXCJDbGFzc2lmaWNhdGlvblRhZ1NldElkXCIsXCJDb21wbGlhbmNlVGFnU2V0SWRcIixcIkZpbGVJZFwiLFwiZ3Zkb2NpZFwiLFwiVGFnRGF0ZVRpbWVcIixcIlVzZXJJZFwiXSIsIm5vT2ZHdkRhdGFFbnRyaWVzIjoiMyIsImxpbmVJZCI6ImI4ODdkMTg0</vt:lpwstr>
  </property>
  <property fmtid="{D5CDD505-2E9C-101B-9397-08002B2CF9AE}" pid="10" name="GVData1">
    <vt:lpwstr>LWU1OGMtNDBjOC04Y2Y2LTBkNDAyMjZjOTA3ZSJ9</vt:lpwstr>
  </property>
  <property fmtid="{D5CDD505-2E9C-101B-9397-08002B2CF9AE}" pid="11" name="GVData2">
    <vt:lpwstr>(end)</vt:lpwstr>
  </property>
</Properties>
</file>